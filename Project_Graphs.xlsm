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/>
  <workbookPr defaultThemeVersion="166925"/>
  <mc:AlternateContent xmlns:mc="http://schemas.openxmlformats.org/markup-compatibility/2006">
    <mc:Choice Requires="x15">
      <x15ac:absPath xmlns:x15ac="http://schemas.microsoft.com/office/spreadsheetml/2010/11/ac" url="G:\M2\C++\Projet\"/>
    </mc:Choice>
  </mc:AlternateContent>
  <bookViews>
    <workbookView xWindow="0" yWindow="0" windowWidth="15750" windowHeight="6780" activeTab="1" xr2:uid="{00000000-000D-0000-FFFF-FFFF00000000}"/>
  </bookViews>
  <sheets>
    <sheet name="Surface" sheetId="1" r:id="rId1"/>
    <sheet name="Comparison" sheetId="3" r:id="rId2"/>
    <sheet name="Heatmap" sheetId="2" r:id="rId3"/>
  </sheets>
  <definedNames>
    <definedName name="_xlchart.v1.0" hidden="1">Surface!$B$1</definedName>
    <definedName name="_xlchart.v1.1" hidden="1">Surface!$B$2:$B$13</definedName>
    <definedName name="_xlchart.v1.10" hidden="1">Surface!$G$1</definedName>
    <definedName name="_xlchart.v1.11" hidden="1">Surface!$G$2:$G$13</definedName>
    <definedName name="_xlchart.v1.12" hidden="1">Surface!$H$1</definedName>
    <definedName name="_xlchart.v1.13" hidden="1">Surface!$H$2:$H$13</definedName>
    <definedName name="_xlchart.v1.14" hidden="1">Surface!$I$1</definedName>
    <definedName name="_xlchart.v1.15" hidden="1">Surface!$I$2:$I$13</definedName>
    <definedName name="_xlchart.v1.16" hidden="1">Surface!$J$1</definedName>
    <definedName name="_xlchart.v1.17" hidden="1">Surface!$J$2:$J$13</definedName>
    <definedName name="_xlchart.v1.18" hidden="1">Surface!$K$1</definedName>
    <definedName name="_xlchart.v1.19" hidden="1">Surface!$K$2:$K$13</definedName>
    <definedName name="_xlchart.v1.2" hidden="1">Surface!$C$1</definedName>
    <definedName name="_xlchart.v1.20" hidden="1">Surface!$L$1</definedName>
    <definedName name="_xlchart.v1.21" hidden="1">Surface!$L$2:$L$13</definedName>
    <definedName name="_xlchart.v1.3" hidden="1">Surface!$C$2:$C$13</definedName>
    <definedName name="_xlchart.v1.4" hidden="1">Surface!$D$1</definedName>
    <definedName name="_xlchart.v1.5" hidden="1">Surface!$D$2:$D$13</definedName>
    <definedName name="_xlchart.v1.6" hidden="1">Surface!$E$1</definedName>
    <definedName name="_xlchart.v1.7" hidden="1">Surface!$E$2:$E$13</definedName>
    <definedName name="_xlchart.v1.8" hidden="1">Surface!$F$1</definedName>
    <definedName name="_xlchart.v1.9" hidden="1">Surface!$F$2:$F$13</definedName>
  </definedNames>
  <calcPr calcId="171027"/>
</workbook>
</file>

<file path=xl/calcChain.xml><?xml version="1.0" encoding="utf-8"?>
<calcChain xmlns="http://schemas.openxmlformats.org/spreadsheetml/2006/main">
  <c r="C30" i="2" l="1"/>
  <c r="D30" i="2"/>
  <c r="E30" i="2"/>
  <c r="F30" i="2"/>
  <c r="G30" i="2"/>
  <c r="H30" i="2"/>
  <c r="I30" i="2"/>
  <c r="J30" i="2"/>
  <c r="K30" i="2"/>
  <c r="L30" i="2"/>
  <c r="C31" i="2"/>
  <c r="D31" i="2"/>
  <c r="E31" i="2"/>
  <c r="F31" i="2"/>
  <c r="G31" i="2"/>
  <c r="H31" i="2"/>
  <c r="I31" i="2"/>
  <c r="J31" i="2"/>
  <c r="K31" i="2"/>
  <c r="L31" i="2"/>
  <c r="C32" i="2"/>
  <c r="D32" i="2"/>
  <c r="E32" i="2"/>
  <c r="F32" i="2"/>
  <c r="G32" i="2"/>
  <c r="H32" i="2"/>
  <c r="I32" i="2"/>
  <c r="J32" i="2"/>
  <c r="K32" i="2"/>
  <c r="L32" i="2"/>
  <c r="C33" i="2"/>
  <c r="D33" i="2"/>
  <c r="E33" i="2"/>
  <c r="F33" i="2"/>
  <c r="G33" i="2"/>
  <c r="H33" i="2"/>
  <c r="I33" i="2"/>
  <c r="J33" i="2"/>
  <c r="K33" i="2"/>
  <c r="L33" i="2"/>
  <c r="C34" i="2"/>
  <c r="D34" i="2"/>
  <c r="E34" i="2"/>
  <c r="F34" i="2"/>
  <c r="G34" i="2"/>
  <c r="H34" i="2"/>
  <c r="I34" i="2"/>
  <c r="J34" i="2"/>
  <c r="K34" i="2"/>
  <c r="L34" i="2"/>
  <c r="C35" i="2"/>
  <c r="D35" i="2"/>
  <c r="E35" i="2"/>
  <c r="F35" i="2"/>
  <c r="G35" i="2"/>
  <c r="H35" i="2"/>
  <c r="I35" i="2"/>
  <c r="J35" i="2"/>
  <c r="K35" i="2"/>
  <c r="L35" i="2"/>
  <c r="C36" i="2"/>
  <c r="D36" i="2"/>
  <c r="E36" i="2"/>
  <c r="F36" i="2"/>
  <c r="G36" i="2"/>
  <c r="H36" i="2"/>
  <c r="I36" i="2"/>
  <c r="J36" i="2"/>
  <c r="K36" i="2"/>
  <c r="L36" i="2"/>
  <c r="C37" i="2"/>
  <c r="D37" i="2"/>
  <c r="E37" i="2"/>
  <c r="F37" i="2"/>
  <c r="G37" i="2"/>
  <c r="H37" i="2"/>
  <c r="I37" i="2"/>
  <c r="J37" i="2"/>
  <c r="K37" i="2"/>
  <c r="L37" i="2"/>
  <c r="C38" i="2"/>
  <c r="D38" i="2"/>
  <c r="E38" i="2"/>
  <c r="F38" i="2"/>
  <c r="G38" i="2"/>
  <c r="H38" i="2"/>
  <c r="I38" i="2"/>
  <c r="J38" i="2"/>
  <c r="K38" i="2"/>
  <c r="L38" i="2"/>
  <c r="C39" i="2"/>
  <c r="D39" i="2"/>
  <c r="E39" i="2"/>
  <c r="F39" i="2"/>
  <c r="G39" i="2"/>
  <c r="H39" i="2"/>
  <c r="I39" i="2"/>
  <c r="J39" i="2"/>
  <c r="K39" i="2"/>
  <c r="L39" i="2"/>
  <c r="C40" i="2"/>
  <c r="D40" i="2"/>
  <c r="E40" i="2"/>
  <c r="F40" i="2"/>
  <c r="G40" i="2"/>
  <c r="H40" i="2"/>
  <c r="I40" i="2"/>
  <c r="J40" i="2"/>
  <c r="K40" i="2"/>
  <c r="L40" i="2"/>
  <c r="C41" i="2"/>
  <c r="D41" i="2"/>
  <c r="E41" i="2"/>
  <c r="F41" i="2"/>
  <c r="G41" i="2"/>
  <c r="H41" i="2"/>
  <c r="I41" i="2"/>
  <c r="J41" i="2"/>
  <c r="K41" i="2"/>
  <c r="L41" i="2"/>
  <c r="B41" i="2"/>
  <c r="B31" i="2"/>
  <c r="B32" i="2"/>
  <c r="B33" i="2"/>
  <c r="B34" i="2"/>
  <c r="B35" i="2"/>
  <c r="B36" i="2"/>
  <c r="B37" i="2"/>
  <c r="B38" i="2"/>
  <c r="B39" i="2"/>
  <c r="B40" i="2"/>
  <c r="B30" i="2"/>
</calcChain>
</file>

<file path=xl/sharedStrings.xml><?xml version="1.0" encoding="utf-8"?>
<sst xmlns="http://schemas.openxmlformats.org/spreadsheetml/2006/main" count="8" uniqueCount="5">
  <si>
    <t>Maturities\Strikes</t>
  </si>
  <si>
    <t>Breakeven</t>
  </si>
  <si>
    <t>Quoted</t>
  </si>
  <si>
    <t>97.5</t>
  </si>
  <si>
    <t>102.5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</si>
</sst>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%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0">
    <xf numFmtId="0" fontId="0" fillId="0" borderId="0" xfId="0"/>
    <xf numFmtId="9" fontId="0" fillId="0" borderId="0" xfId="1" applyNumberFormat="1" applyFont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11" xfId="0" applyBorder="1"/>
    <xf numFmtId="164" fontId="0" fillId="0" borderId="17" xfId="1" applyNumberFormat="1" applyFont="1" applyBorder="1"/>
    <xf numFmtId="164" fontId="0" fillId="0" borderId="18" xfId="1" applyNumberFormat="1" applyFont="1" applyBorder="1"/>
    <xf numFmtId="164" fontId="0" fillId="0" borderId="19" xfId="1" applyNumberFormat="1" applyFont="1" applyBorder="1"/>
    <xf numFmtId="164" fontId="0" fillId="0" borderId="15" xfId="1" applyNumberFormat="1" applyFont="1" applyBorder="1"/>
    <xf numFmtId="164" fontId="0" fillId="0" borderId="10" xfId="1" applyNumberFormat="1" applyFont="1" applyBorder="1"/>
    <xf numFmtId="164" fontId="0" fillId="0" borderId="12" xfId="1" applyNumberFormat="1" applyFont="1" applyBorder="1"/>
    <xf numFmtId="164" fontId="0" fillId="0" borderId="16" xfId="1" applyNumberFormat="1" applyFont="1" applyBorder="1"/>
    <xf numFmtId="164" fontId="0" fillId="0" borderId="13" xfId="1" applyNumberFormat="1" applyFont="1" applyBorder="1"/>
    <xf numFmtId="164" fontId="0" fillId="0" borderId="14" xfId="1" applyNumberFormat="1" applyFont="1" applyBorder="1"/>
    <xf numFmtId="10" fontId="0" fillId="0" borderId="0" xfId="1" applyNumberFormat="1" applyFont="1"/>
    <xf numFmtId="10" fontId="0" fillId="0" borderId="0" xfId="0" applyNumberFormat="1"/>
  </cellXfs>
  <cellStyles count="43">
    <cellStyle name="20 % - Accent1" xfId="20" builtinId="30" customBuiltin="1"/>
    <cellStyle name="20 % - Accent2" xfId="24" builtinId="34" customBuiltin="1"/>
    <cellStyle name="20 % - Accent3" xfId="28" builtinId="38" customBuiltin="1"/>
    <cellStyle name="20 % - Accent4" xfId="32" builtinId="42" customBuiltin="1"/>
    <cellStyle name="20 % - Accent5" xfId="36" builtinId="46" customBuiltin="1"/>
    <cellStyle name="20 % - Accent6" xfId="40" builtinId="50" customBuiltin="1"/>
    <cellStyle name="40 % - Accent1" xfId="21" builtinId="31" customBuiltin="1"/>
    <cellStyle name="40 % - Accent2" xfId="25" builtinId="35" customBuiltin="1"/>
    <cellStyle name="40 % - Accent3" xfId="29" builtinId="39" customBuiltin="1"/>
    <cellStyle name="40 % - Accent4" xfId="33" builtinId="43" customBuiltin="1"/>
    <cellStyle name="40 % - Accent5" xfId="37" builtinId="47" customBuiltin="1"/>
    <cellStyle name="40 % - Accent6" xfId="41" builtinId="51" customBuiltin="1"/>
    <cellStyle name="60 % - Accent1" xfId="22" builtinId="32" customBuiltin="1"/>
    <cellStyle name="60 % - Accent2" xfId="26" builtinId="36" customBuiltin="1"/>
    <cellStyle name="60 % - Accent3" xfId="30" builtinId="40" customBuiltin="1"/>
    <cellStyle name="60 % - Accent4" xfId="34" builtinId="44" customBuiltin="1"/>
    <cellStyle name="60 % - Accent5" xfId="38" builtinId="48" customBuiltin="1"/>
    <cellStyle name="60 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Avertissement" xfId="15" builtinId="11" customBuiltin="1"/>
    <cellStyle name="Calcul" xfId="12" builtinId="22" customBuiltin="1"/>
    <cellStyle name="Cellule liée" xfId="13" builtinId="24" customBuiltin="1"/>
    <cellStyle name="Entrée" xfId="10" builtinId="20" customBuiltin="1"/>
    <cellStyle name="Insatisfaisant" xfId="8" builtinId="27" customBuiltin="1"/>
    <cellStyle name="Neutre" xfId="9" builtinId="28" customBuiltin="1"/>
    <cellStyle name="Normal" xfId="0" builtinId="0"/>
    <cellStyle name="Note" xfId="16" builtinId="10" customBuiltin="1"/>
    <cellStyle name="Pourcentage" xfId="1" builtinId="5"/>
    <cellStyle name="Satisfaisant" xfId="7" builtinId="26" customBuiltin="1"/>
    <cellStyle name="Sortie" xfId="11" builtinId="21" customBuiltin="1"/>
    <cellStyle name="Texte explicatif" xfId="17" builtinId="53" customBuiltin="1"/>
    <cellStyle name="Titre" xfId="2" builtinId="15" customBuiltin="1"/>
    <cellStyle name="Titre 1" xfId="3" builtinId="16" customBuiltin="1"/>
    <cellStyle name="Titre 2" xfId="4" builtinId="17" customBuiltin="1"/>
    <cellStyle name="Titre 3" xfId="5" builtinId="18" customBuiltin="1"/>
    <cellStyle name="Titre 4" xfId="6" builtinId="19" customBuiltin="1"/>
    <cellStyle name="Total" xfId="18" builtinId="25" customBuiltin="1"/>
    <cellStyle name="Vérification" xfId="14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VOLATILITY SURFACE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Surface!$B$1</c:f>
              <c:strCache>
                <c:ptCount val="1"/>
                <c:pt idx="0">
                  <c:v>50</c:v>
                </c:pt>
              </c:strCache>
            </c:strRef>
          </c:tx>
          <c:spPr>
            <a:solidFill>
              <a:schemeClr val="accent5">
                <a:shade val="41000"/>
              </a:schemeClr>
            </a:solidFill>
            <a:ln/>
            <a:effectLst/>
            <a:sp3d/>
          </c:spPr>
          <c:val>
            <c:numRef>
              <c:f>Surface!$B$2:$B$13</c:f>
              <c:numCache>
                <c:formatCode>0%</c:formatCode>
                <c:ptCount val="12"/>
                <c:pt idx="0">
                  <c:v>0.36596299999999998</c:v>
                </c:pt>
                <c:pt idx="1">
                  <c:v>0.25394800000000001</c:v>
                </c:pt>
                <c:pt idx="2">
                  <c:v>0.20843100000000001</c:v>
                </c:pt>
                <c:pt idx="3">
                  <c:v>0.179646</c:v>
                </c:pt>
                <c:pt idx="4">
                  <c:v>0.16276199999999999</c:v>
                </c:pt>
                <c:pt idx="5">
                  <c:v>0.147976</c:v>
                </c:pt>
                <c:pt idx="6">
                  <c:v>0.13866000000000001</c:v>
                </c:pt>
                <c:pt idx="7">
                  <c:v>0.129658</c:v>
                </c:pt>
                <c:pt idx="8">
                  <c:v>0.120243</c:v>
                </c:pt>
                <c:pt idx="9">
                  <c:v>0.118061</c:v>
                </c:pt>
                <c:pt idx="10">
                  <c:v>0.110226</c:v>
                </c:pt>
                <c:pt idx="11">
                  <c:v>0.10595300000000001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2-40FF-8093-7F96FC08A1D7}"/>
            </c:ext>
          </c:extLst>
        </c:ser>
        <c:ser>
          <c:idx val="1"/>
          <c:order val="1"/>
          <c:tx>
            <c:strRef>
              <c:f>Surface!$C$1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5">
                <a:shade val="53000"/>
              </a:schemeClr>
            </a:solidFill>
            <a:ln/>
            <a:effectLst/>
            <a:sp3d/>
          </c:spPr>
          <c:val>
            <c:numRef>
              <c:f>Surface!$C$2:$C$13</c:f>
              <c:numCache>
                <c:formatCode>0%</c:formatCode>
                <c:ptCount val="12"/>
                <c:pt idx="0">
                  <c:v>0.27087800000000001</c:v>
                </c:pt>
                <c:pt idx="1">
                  <c:v>0.18839600000000001</c:v>
                </c:pt>
                <c:pt idx="2">
                  <c:v>0.15477399999999999</c:v>
                </c:pt>
                <c:pt idx="3">
                  <c:v>0.13313700000000001</c:v>
                </c:pt>
                <c:pt idx="4">
                  <c:v>0.12159300000000001</c:v>
                </c:pt>
                <c:pt idx="5">
                  <c:v>0.110439</c:v>
                </c:pt>
                <c:pt idx="6">
                  <c:v>0.108761</c:v>
                </c:pt>
                <c:pt idx="7">
                  <c:v>9.8514599999999994E-2</c:v>
                </c:pt>
                <c:pt idx="8">
                  <c:v>8.9733099999999996E-2</c:v>
                </c:pt>
                <c:pt idx="9">
                  <c:v>8.9679700000000001E-2</c:v>
                </c:pt>
                <c:pt idx="10">
                  <c:v>8.2401299999999997E-2</c:v>
                </c:pt>
                <c:pt idx="11">
                  <c:v>7.9639399999999999E-2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2-40FF-8093-7F96FC08A1D7}"/>
            </c:ext>
          </c:extLst>
        </c:ser>
        <c:ser>
          <c:idx val="2"/>
          <c:order val="2"/>
          <c:tx>
            <c:strRef>
              <c:f>Surface!$D$1</c:f>
              <c:strCache>
                <c:ptCount val="1"/>
                <c:pt idx="0">
                  <c:v>70</c:v>
                </c:pt>
              </c:strCache>
            </c:strRef>
          </c:tx>
          <c:spPr>
            <a:solidFill>
              <a:schemeClr val="accent5">
                <a:shade val="65000"/>
              </a:schemeClr>
            </a:solidFill>
            <a:ln/>
            <a:effectLst/>
            <a:sp3d/>
          </c:spPr>
          <c:val>
            <c:numRef>
              <c:f>Surface!$D$2:$D$13</c:f>
              <c:numCache>
                <c:formatCode>0%</c:formatCode>
                <c:ptCount val="12"/>
                <c:pt idx="0">
                  <c:v>0.19034999999999999</c:v>
                </c:pt>
                <c:pt idx="1">
                  <c:v>0.13283200000000001</c:v>
                </c:pt>
                <c:pt idx="2">
                  <c:v>0.109333</c:v>
                </c:pt>
                <c:pt idx="3">
                  <c:v>9.4043699999999994E-2</c:v>
                </c:pt>
                <c:pt idx="4">
                  <c:v>8.7078100000000005E-2</c:v>
                </c:pt>
                <c:pt idx="5">
                  <c:v>7.9303700000000005E-2</c:v>
                </c:pt>
                <c:pt idx="6">
                  <c:v>9.9185899999999994E-2</c:v>
                </c:pt>
                <c:pt idx="7">
                  <c:v>8.60176E-2</c:v>
                </c:pt>
                <c:pt idx="8">
                  <c:v>6.5639500000000003E-2</c:v>
                </c:pt>
                <c:pt idx="9">
                  <c:v>7.39784E-2</c:v>
                </c:pt>
                <c:pt idx="10">
                  <c:v>5.9284200000000002E-2</c:v>
                </c:pt>
                <c:pt idx="11">
                  <c:v>5.9558899999999998E-2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2-40FF-8093-7F96FC08A1D7}"/>
            </c:ext>
          </c:extLst>
        </c:ser>
        <c:ser>
          <c:idx val="3"/>
          <c:order val="3"/>
          <c:tx>
            <c:strRef>
              <c:f>Surface!$E$1</c:f>
              <c:strCache>
                <c:ptCount val="1"/>
                <c:pt idx="0">
                  <c:v>80</c:v>
                </c:pt>
              </c:strCache>
            </c:strRef>
          </c:tx>
          <c:spPr>
            <a:solidFill>
              <a:schemeClr val="accent5">
                <a:shade val="76000"/>
              </a:schemeClr>
            </a:solidFill>
            <a:ln/>
            <a:effectLst/>
            <a:sp3d/>
          </c:spPr>
          <c:val>
            <c:numRef>
              <c:f>Surface!$E$2:$E$13</c:f>
              <c:numCache>
                <c:formatCode>0%</c:formatCode>
                <c:ptCount val="12"/>
                <c:pt idx="0">
                  <c:v>0.120495</c:v>
                </c:pt>
                <c:pt idx="1">
                  <c:v>8.4484100000000006E-2</c:v>
                </c:pt>
                <c:pt idx="2">
                  <c:v>6.9858600000000007E-2</c:v>
                </c:pt>
                <c:pt idx="3">
                  <c:v>6.8431900000000004E-2</c:v>
                </c:pt>
                <c:pt idx="4">
                  <c:v>6.3465099999999997E-2</c:v>
                </c:pt>
                <c:pt idx="5">
                  <c:v>6.6745799999999994E-2</c:v>
                </c:pt>
                <c:pt idx="6">
                  <c:v>8.8634500000000005E-2</c:v>
                </c:pt>
                <c:pt idx="7">
                  <c:v>8.1592600000000001E-2</c:v>
                </c:pt>
                <c:pt idx="8">
                  <c:v>6.4945199999999995E-2</c:v>
                </c:pt>
                <c:pt idx="9">
                  <c:v>6.9606799999999996E-2</c:v>
                </c:pt>
                <c:pt idx="10">
                  <c:v>5.3173100000000001E-2</c:v>
                </c:pt>
                <c:pt idx="11">
                  <c:v>5.5194899999999998E-2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72-40FF-8093-7F96FC08A1D7}"/>
            </c:ext>
          </c:extLst>
        </c:ser>
        <c:ser>
          <c:idx val="4"/>
          <c:order val="4"/>
          <c:tx>
            <c:strRef>
              <c:f>Surface!$F$1</c:f>
              <c:strCache>
                <c:ptCount val="1"/>
                <c:pt idx="0">
                  <c:v>90</c:v>
                </c:pt>
              </c:strCache>
            </c:strRef>
          </c:tx>
          <c:spPr>
            <a:solidFill>
              <a:schemeClr val="accent5">
                <a:shade val="88000"/>
              </a:schemeClr>
            </a:solidFill>
            <a:ln/>
            <a:effectLst/>
            <a:sp3d/>
          </c:spPr>
          <c:val>
            <c:numRef>
              <c:f>Surface!$F$2:$F$13</c:f>
              <c:numCache>
                <c:formatCode>0%</c:formatCode>
                <c:ptCount val="12"/>
                <c:pt idx="0">
                  <c:v>7.3726700000000006E-2</c:v>
                </c:pt>
                <c:pt idx="1">
                  <c:v>4.1828200000000003E-2</c:v>
                </c:pt>
                <c:pt idx="2">
                  <c:v>3.6724100000000003E-2</c:v>
                </c:pt>
                <c:pt idx="3">
                  <c:v>6.7943600000000007E-2</c:v>
                </c:pt>
                <c:pt idx="4">
                  <c:v>6.6875500000000004E-2</c:v>
                </c:pt>
                <c:pt idx="5">
                  <c:v>6.6616099999999998E-2</c:v>
                </c:pt>
                <c:pt idx="6">
                  <c:v>7.6366400000000001E-2</c:v>
                </c:pt>
                <c:pt idx="7">
                  <c:v>7.4817700000000001E-2</c:v>
                </c:pt>
                <c:pt idx="8">
                  <c:v>6.6509200000000004E-2</c:v>
                </c:pt>
                <c:pt idx="9">
                  <c:v>6.8012199999999995E-2</c:v>
                </c:pt>
                <c:pt idx="10">
                  <c:v>6.0550699999999999E-2</c:v>
                </c:pt>
                <c:pt idx="11">
                  <c:v>5.5324600000000002E-2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F72-40FF-8093-7F96FC08A1D7}"/>
            </c:ext>
          </c:extLst>
        </c:ser>
        <c:ser>
          <c:idx val="5"/>
          <c:order val="5"/>
          <c:tx>
            <c:strRef>
              <c:f>Surface!$G$1</c:f>
              <c:strCache>
                <c:ptCount val="1"/>
                <c:pt idx="0">
                  <c:v>100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val>
            <c:numRef>
              <c:f>Surface!$G$2:$G$13</c:f>
              <c:numCache>
                <c:formatCode>0%</c:formatCode>
                <c:ptCount val="12"/>
                <c:pt idx="0">
                  <c:v>6.3526200000000005E-2</c:v>
                </c:pt>
                <c:pt idx="1">
                  <c:v>4.6062499999999999E-2</c:v>
                </c:pt>
                <c:pt idx="2">
                  <c:v>3.5098999999999998E-2</c:v>
                </c:pt>
                <c:pt idx="3">
                  <c:v>5.5789900000000003E-2</c:v>
                </c:pt>
                <c:pt idx="4">
                  <c:v>6.1161E-2</c:v>
                </c:pt>
                <c:pt idx="5">
                  <c:v>6.28166E-2</c:v>
                </c:pt>
                <c:pt idx="6">
                  <c:v>6.5944699999999995E-2</c:v>
                </c:pt>
                <c:pt idx="7">
                  <c:v>6.6783899999999993E-2</c:v>
                </c:pt>
                <c:pt idx="8">
                  <c:v>6.4273800000000006E-2</c:v>
                </c:pt>
                <c:pt idx="9">
                  <c:v>6.5807299999999999E-2</c:v>
                </c:pt>
                <c:pt idx="10">
                  <c:v>6.4792600000000006E-2</c:v>
                </c:pt>
                <c:pt idx="11">
                  <c:v>6.1977400000000002E-2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F72-40FF-8093-7F96FC08A1D7}"/>
            </c:ext>
          </c:extLst>
        </c:ser>
        <c:ser>
          <c:idx val="6"/>
          <c:order val="6"/>
          <c:tx>
            <c:strRef>
              <c:f>Surface!$H$1</c:f>
              <c:strCache>
                <c:ptCount val="1"/>
                <c:pt idx="0">
                  <c:v>110</c:v>
                </c:pt>
              </c:strCache>
            </c:strRef>
          </c:tx>
          <c:spPr>
            <a:solidFill>
              <a:schemeClr val="accent5">
                <a:tint val="89000"/>
              </a:schemeClr>
            </a:solidFill>
            <a:ln/>
            <a:effectLst/>
            <a:sp3d/>
          </c:spPr>
          <c:val>
            <c:numRef>
              <c:f>Surface!$H$2:$H$13</c:f>
              <c:numCache>
                <c:formatCode>0%</c:formatCode>
                <c:ptCount val="12"/>
                <c:pt idx="0">
                  <c:v>6.4220399999999997E-2</c:v>
                </c:pt>
                <c:pt idx="1">
                  <c:v>3.5945900000000003E-2</c:v>
                </c:pt>
                <c:pt idx="2">
                  <c:v>3.5442399999999999E-2</c:v>
                </c:pt>
                <c:pt idx="3">
                  <c:v>3.6251100000000001E-2</c:v>
                </c:pt>
                <c:pt idx="4">
                  <c:v>3.9157900000000002E-2</c:v>
                </c:pt>
                <c:pt idx="5">
                  <c:v>3.0231500000000001E-2</c:v>
                </c:pt>
                <c:pt idx="6">
                  <c:v>5.2272800000000001E-2</c:v>
                </c:pt>
                <c:pt idx="7">
                  <c:v>5.0830800000000002E-2</c:v>
                </c:pt>
                <c:pt idx="8">
                  <c:v>5.0998700000000001E-2</c:v>
                </c:pt>
                <c:pt idx="9">
                  <c:v>5.26924E-2</c:v>
                </c:pt>
                <c:pt idx="10">
                  <c:v>5.8719599999999997E-2</c:v>
                </c:pt>
                <c:pt idx="11">
                  <c:v>5.9986100000000001E-2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F72-40FF-8093-7F96FC08A1D7}"/>
            </c:ext>
          </c:extLst>
        </c:ser>
        <c:ser>
          <c:idx val="7"/>
          <c:order val="7"/>
          <c:tx>
            <c:strRef>
              <c:f>Surface!$I$1</c:f>
              <c:strCache>
                <c:ptCount val="1"/>
                <c:pt idx="0">
                  <c:v>120</c:v>
                </c:pt>
              </c:strCache>
            </c:strRef>
          </c:tx>
          <c:spPr>
            <a:solidFill>
              <a:schemeClr val="accent5">
                <a:tint val="77000"/>
              </a:schemeClr>
            </a:solidFill>
            <a:ln/>
            <a:effectLst/>
            <a:sp3d/>
          </c:spPr>
          <c:val>
            <c:numRef>
              <c:f>Surface!$I$2:$I$13</c:f>
              <c:numCache>
                <c:formatCode>0%</c:formatCode>
                <c:ptCount val="12"/>
                <c:pt idx="0">
                  <c:v>9.9864999999999995E-2</c:v>
                </c:pt>
                <c:pt idx="1">
                  <c:v>6.64024E-2</c:v>
                </c:pt>
                <c:pt idx="2">
                  <c:v>5.3745300000000003E-2</c:v>
                </c:pt>
                <c:pt idx="3">
                  <c:v>6.5692899999999999E-2</c:v>
                </c:pt>
                <c:pt idx="4">
                  <c:v>4.0904999999999997E-2</c:v>
                </c:pt>
                <c:pt idx="5">
                  <c:v>5.4477699999999997E-2</c:v>
                </c:pt>
                <c:pt idx="6">
                  <c:v>5.4760000000000003E-2</c:v>
                </c:pt>
                <c:pt idx="7">
                  <c:v>5.2562699999999997E-2</c:v>
                </c:pt>
                <c:pt idx="8">
                  <c:v>5.6156200000000003E-2</c:v>
                </c:pt>
                <c:pt idx="9">
                  <c:v>5.9200299999999997E-2</c:v>
                </c:pt>
                <c:pt idx="10">
                  <c:v>5.3081499999999997E-2</c:v>
                </c:pt>
                <c:pt idx="11">
                  <c:v>4.9388899999999999E-2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F72-40FF-8093-7F96FC08A1D7}"/>
            </c:ext>
          </c:extLst>
        </c:ser>
        <c:ser>
          <c:idx val="8"/>
          <c:order val="8"/>
          <c:tx>
            <c:strRef>
              <c:f>Surface!$J$1</c:f>
              <c:strCache>
                <c:ptCount val="1"/>
                <c:pt idx="0">
                  <c:v>130</c:v>
                </c:pt>
              </c:strCache>
            </c:strRef>
          </c:tx>
          <c:spPr>
            <a:solidFill>
              <a:schemeClr val="accent5">
                <a:tint val="65000"/>
              </a:schemeClr>
            </a:solidFill>
            <a:ln/>
            <a:effectLst/>
            <a:sp3d/>
          </c:spPr>
          <c:val>
            <c:numRef>
              <c:f>Surface!$J$2:$J$13</c:f>
              <c:numCache>
                <c:formatCode>0%</c:formatCode>
                <c:ptCount val="12"/>
                <c:pt idx="0">
                  <c:v>0.141376</c:v>
                </c:pt>
                <c:pt idx="1">
                  <c:v>9.5256800000000003E-2</c:v>
                </c:pt>
                <c:pt idx="2">
                  <c:v>7.7510800000000005E-2</c:v>
                </c:pt>
                <c:pt idx="3">
                  <c:v>8.2225800000000002E-2</c:v>
                </c:pt>
                <c:pt idx="4">
                  <c:v>5.8490800000000003E-2</c:v>
                </c:pt>
                <c:pt idx="5">
                  <c:v>5.8040599999999998E-2</c:v>
                </c:pt>
                <c:pt idx="6">
                  <c:v>5.7613400000000002E-2</c:v>
                </c:pt>
                <c:pt idx="7">
                  <c:v>4.9602500000000001E-2</c:v>
                </c:pt>
                <c:pt idx="8">
                  <c:v>6.1557800000000003E-2</c:v>
                </c:pt>
                <c:pt idx="9">
                  <c:v>6.6455799999999995E-2</c:v>
                </c:pt>
                <c:pt idx="10">
                  <c:v>6.40984E-2</c:v>
                </c:pt>
                <c:pt idx="11">
                  <c:v>6.2511399999999995E-2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F72-40FF-8093-7F96FC08A1D7}"/>
            </c:ext>
          </c:extLst>
        </c:ser>
        <c:ser>
          <c:idx val="9"/>
          <c:order val="9"/>
          <c:tx>
            <c:strRef>
              <c:f>Surface!$K$1</c:f>
              <c:strCache>
                <c:ptCount val="1"/>
                <c:pt idx="0">
                  <c:v>140</c:v>
                </c:pt>
              </c:strCache>
            </c:strRef>
          </c:tx>
          <c:spPr>
            <a:solidFill>
              <a:schemeClr val="accent5">
                <a:tint val="54000"/>
              </a:schemeClr>
            </a:solidFill>
            <a:ln/>
            <a:effectLst/>
            <a:sp3d/>
          </c:spPr>
          <c:val>
            <c:numRef>
              <c:f>Surface!$K$2:$K$13</c:f>
              <c:numCache>
                <c:formatCode>0%</c:formatCode>
                <c:ptCount val="12"/>
                <c:pt idx="0">
                  <c:v>0.17972199999999999</c:v>
                </c:pt>
                <c:pt idx="1">
                  <c:v>0.121799</c:v>
                </c:pt>
                <c:pt idx="2">
                  <c:v>9.9285100000000001E-2</c:v>
                </c:pt>
                <c:pt idx="3">
                  <c:v>9.3181600000000003E-2</c:v>
                </c:pt>
                <c:pt idx="4">
                  <c:v>7.5168600000000002E-2</c:v>
                </c:pt>
                <c:pt idx="5">
                  <c:v>7.1071599999999999E-2</c:v>
                </c:pt>
                <c:pt idx="6">
                  <c:v>6.6616099999999998E-2</c:v>
                </c:pt>
                <c:pt idx="7">
                  <c:v>6.0054799999999998E-2</c:v>
                </c:pt>
                <c:pt idx="8">
                  <c:v>6.6341399999999995E-2</c:v>
                </c:pt>
                <c:pt idx="9">
                  <c:v>7.0423100000000002E-2</c:v>
                </c:pt>
                <c:pt idx="10">
                  <c:v>6.8012199999999995E-2</c:v>
                </c:pt>
                <c:pt idx="11">
                  <c:v>6.5403000000000003E-2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F72-40FF-8093-7F96FC08A1D7}"/>
            </c:ext>
          </c:extLst>
        </c:ser>
        <c:ser>
          <c:idx val="10"/>
          <c:order val="10"/>
          <c:tx>
            <c:strRef>
              <c:f>Surface!$L$1</c:f>
              <c:strCache>
                <c:ptCount val="1"/>
                <c:pt idx="0">
                  <c:v>150</c:v>
                </c:pt>
              </c:strCache>
            </c:strRef>
          </c:tx>
          <c:spPr>
            <a:solidFill>
              <a:schemeClr val="accent5">
                <a:tint val="42000"/>
              </a:schemeClr>
            </a:solidFill>
            <a:ln/>
            <a:effectLst/>
            <a:sp3d/>
          </c:spPr>
          <c:val>
            <c:numRef>
              <c:f>Surface!$L$2:$L$13</c:f>
              <c:numCache>
                <c:formatCode>0%</c:formatCode>
                <c:ptCount val="12"/>
                <c:pt idx="0">
                  <c:v>0.215282</c:v>
                </c:pt>
                <c:pt idx="1">
                  <c:v>0.14638100000000001</c:v>
                </c:pt>
                <c:pt idx="2">
                  <c:v>0.119434</c:v>
                </c:pt>
                <c:pt idx="3">
                  <c:v>0.10864600000000001</c:v>
                </c:pt>
                <c:pt idx="4">
                  <c:v>9.0671500000000002E-2</c:v>
                </c:pt>
                <c:pt idx="5">
                  <c:v>8.4819800000000001E-2</c:v>
                </c:pt>
                <c:pt idx="6">
                  <c:v>7.8975699999999996E-2</c:v>
                </c:pt>
                <c:pt idx="7">
                  <c:v>7.2193099999999996E-2</c:v>
                </c:pt>
                <c:pt idx="8">
                  <c:v>7.2635699999999997E-2</c:v>
                </c:pt>
                <c:pt idx="9">
                  <c:v>7.2353399999999998E-2</c:v>
                </c:pt>
                <c:pt idx="10">
                  <c:v>6.9675399999999998E-2</c:v>
                </c:pt>
                <c:pt idx="11">
                  <c:v>6.5456399999999998E-2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F72-40FF-8093-7F96FC08A1D7}"/>
            </c:ext>
          </c:extLst>
        </c:ser>
        <c:bandFmts>
          <c:bandFmt>
            <c:idx val="0"/>
            <c:spPr>
              <a:solidFill>
                <a:schemeClr val="accent5">
                  <a:shade val="44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5">
                  <a:shade val="58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5">
                  <a:shade val="72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5">
                  <a:shade val="86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5">
                  <a:tint val="86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5">
                  <a:tint val="72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5">
                  <a:tint val="58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5">
                  <a:tint val="44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5">
                  <a:tint val="3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tint val="16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5">
                  <a:tint val="2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5">
                  <a:tint val="88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5">
                  <a:tint val="74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5">
                  <a:tint val="60000"/>
                </a:schemeClr>
              </a:solidFill>
              <a:ln/>
              <a:effectLst/>
              <a:sp3d/>
            </c:spPr>
          </c:bandFmt>
        </c:bandFmts>
        <c:axId val="620250312"/>
        <c:axId val="620250968"/>
        <c:axId val="621516336"/>
      </c:surface3DChart>
      <c:catAx>
        <c:axId val="6202503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maturity (months)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20250968"/>
        <c:crosses val="autoZero"/>
        <c:auto val="1"/>
        <c:lblAlgn val="ctr"/>
        <c:lblOffset val="100"/>
        <c:noMultiLvlLbl val="0"/>
      </c:catAx>
      <c:valAx>
        <c:axId val="620250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implied vol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20250312"/>
        <c:crosses val="autoZero"/>
        <c:crossBetween val="midCat"/>
      </c:valAx>
      <c:serAx>
        <c:axId val="621516336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strike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20250968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Breakeven skew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Surface!$A$4</c:f>
              <c:strCache>
                <c:ptCount val="1"/>
                <c:pt idx="0">
                  <c:v>3</c:v>
                </c:pt>
              </c:strCache>
            </c:strRef>
          </c:tx>
          <c:spPr>
            <a:ln w="28575" cap="rnd">
              <a:solidFill>
                <a:schemeClr val="accent5">
                  <a:tint val="6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Surface!$B$1:$L$1</c:f>
              <c:numCache>
                <c:formatCode>General</c:formatCode>
                <c:ptCount val="11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</c:numCache>
            </c:numRef>
          </c:cat>
          <c:val>
            <c:numRef>
              <c:f>Surface!$B$4:$L$4</c:f>
              <c:numCache>
                <c:formatCode>0%</c:formatCode>
                <c:ptCount val="11"/>
                <c:pt idx="0">
                  <c:v>0.20843100000000001</c:v>
                </c:pt>
                <c:pt idx="1">
                  <c:v>0.15477399999999999</c:v>
                </c:pt>
                <c:pt idx="2">
                  <c:v>0.109333</c:v>
                </c:pt>
                <c:pt idx="3">
                  <c:v>6.9858600000000007E-2</c:v>
                </c:pt>
                <c:pt idx="4">
                  <c:v>3.6724100000000003E-2</c:v>
                </c:pt>
                <c:pt idx="5">
                  <c:v>3.5098999999999998E-2</c:v>
                </c:pt>
                <c:pt idx="6">
                  <c:v>3.5442399999999999E-2</c:v>
                </c:pt>
                <c:pt idx="7">
                  <c:v>5.3745300000000003E-2</c:v>
                </c:pt>
                <c:pt idx="8">
                  <c:v>7.7510800000000005E-2</c:v>
                </c:pt>
                <c:pt idx="9">
                  <c:v>9.9285100000000001E-2</c:v>
                </c:pt>
                <c:pt idx="10">
                  <c:v>0.119434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A9-4936-8BE5-B07960D9C5BB}"/>
            </c:ext>
          </c:extLst>
        </c:ser>
        <c:ser>
          <c:idx val="1"/>
          <c:order val="1"/>
          <c:tx>
            <c:strRef>
              <c:f>Surface!$A$7</c:f>
              <c:strCache>
                <c:ptCount val="1"/>
                <c:pt idx="0">
                  <c:v>6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Surface!$B$1:$L$1</c:f>
              <c:numCache>
                <c:formatCode>General</c:formatCode>
                <c:ptCount val="11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</c:numCache>
            </c:numRef>
          </c:cat>
          <c:val>
            <c:numRef>
              <c:f>Surface!$B$7:$L$7</c:f>
              <c:numCache>
                <c:formatCode>0%</c:formatCode>
                <c:ptCount val="11"/>
                <c:pt idx="0">
                  <c:v>0.147976</c:v>
                </c:pt>
                <c:pt idx="1">
                  <c:v>0.110439</c:v>
                </c:pt>
                <c:pt idx="2">
                  <c:v>7.9303700000000005E-2</c:v>
                </c:pt>
                <c:pt idx="3">
                  <c:v>6.6745799999999994E-2</c:v>
                </c:pt>
                <c:pt idx="4">
                  <c:v>6.6616099999999998E-2</c:v>
                </c:pt>
                <c:pt idx="5">
                  <c:v>6.28166E-2</c:v>
                </c:pt>
                <c:pt idx="6">
                  <c:v>3.0231500000000001E-2</c:v>
                </c:pt>
                <c:pt idx="7">
                  <c:v>5.4477699999999997E-2</c:v>
                </c:pt>
                <c:pt idx="8">
                  <c:v>5.8040599999999998E-2</c:v>
                </c:pt>
                <c:pt idx="9">
                  <c:v>7.1071599999999999E-2</c:v>
                </c:pt>
                <c:pt idx="10">
                  <c:v>8.4819800000000001E-2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A9-4936-8BE5-B07960D9C5BB}"/>
            </c:ext>
          </c:extLst>
        </c:ser>
        <c:ser>
          <c:idx val="2"/>
          <c:order val="2"/>
          <c:tx>
            <c:strRef>
              <c:f>Surface!$A$13</c:f>
              <c:strCache>
                <c:ptCount val="1"/>
                <c:pt idx="0">
                  <c:v>12</c:v>
                </c:pt>
              </c:strCache>
            </c:strRef>
          </c:tx>
          <c:spPr>
            <a:ln w="28575" cap="rnd">
              <a:solidFill>
                <a:schemeClr val="accent5">
                  <a:shade val="6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Surface!$B$1:$L$1</c:f>
              <c:numCache>
                <c:formatCode>General</c:formatCode>
                <c:ptCount val="11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</c:numCache>
            </c:numRef>
          </c:cat>
          <c:val>
            <c:numRef>
              <c:f>Surface!$B$13:$L$13</c:f>
              <c:numCache>
                <c:formatCode>0%</c:formatCode>
                <c:ptCount val="11"/>
                <c:pt idx="0">
                  <c:v>0.10595300000000001</c:v>
                </c:pt>
                <c:pt idx="1">
                  <c:v>7.9639399999999999E-2</c:v>
                </c:pt>
                <c:pt idx="2">
                  <c:v>5.9558899999999998E-2</c:v>
                </c:pt>
                <c:pt idx="3">
                  <c:v>5.5194899999999998E-2</c:v>
                </c:pt>
                <c:pt idx="4">
                  <c:v>5.5324600000000002E-2</c:v>
                </c:pt>
                <c:pt idx="5">
                  <c:v>6.1977400000000002E-2</c:v>
                </c:pt>
                <c:pt idx="6">
                  <c:v>5.9986100000000001E-2</c:v>
                </c:pt>
                <c:pt idx="7">
                  <c:v>4.9388899999999999E-2</c:v>
                </c:pt>
                <c:pt idx="8">
                  <c:v>6.2511399999999995E-2</c:v>
                </c:pt>
                <c:pt idx="9">
                  <c:v>6.5403000000000003E-2</c:v>
                </c:pt>
                <c:pt idx="10">
                  <c:v>6.5456399999999998E-2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A9-4936-8BE5-B07960D9C5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4458040"/>
        <c:axId val="574453120"/>
      </c:lineChart>
      <c:catAx>
        <c:axId val="574458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74453120"/>
        <c:crosses val="autoZero"/>
        <c:auto val="1"/>
        <c:lblAlgn val="ctr"/>
        <c:lblOffset val="100"/>
        <c:noMultiLvlLbl val="0"/>
      </c:catAx>
      <c:valAx>
        <c:axId val="574453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74458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Breakeven term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Surface!$E$1</c:f>
              <c:strCache>
                <c:ptCount val="1"/>
                <c:pt idx="0">
                  <c:v>80</c:v>
                </c:pt>
              </c:strCache>
            </c:strRef>
          </c:tx>
          <c:spPr>
            <a:ln w="28575" cap="rnd">
              <a:solidFill>
                <a:schemeClr val="accent5">
                  <a:tint val="6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Surface!$A$2:$A$13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Surface!$E$2:$E$13</c:f>
              <c:numCache>
                <c:formatCode>0%</c:formatCode>
                <c:ptCount val="12"/>
                <c:pt idx="0">
                  <c:v>0.120495</c:v>
                </c:pt>
                <c:pt idx="1">
                  <c:v>8.4484100000000006E-2</c:v>
                </c:pt>
                <c:pt idx="2">
                  <c:v>6.9858600000000007E-2</c:v>
                </c:pt>
                <c:pt idx="3">
                  <c:v>6.8431900000000004E-2</c:v>
                </c:pt>
                <c:pt idx="4">
                  <c:v>6.3465099999999997E-2</c:v>
                </c:pt>
                <c:pt idx="5">
                  <c:v>6.6745799999999994E-2</c:v>
                </c:pt>
                <c:pt idx="6">
                  <c:v>8.8634500000000005E-2</c:v>
                </c:pt>
                <c:pt idx="7">
                  <c:v>8.1592600000000001E-2</c:v>
                </c:pt>
                <c:pt idx="8">
                  <c:v>6.4945199999999995E-2</c:v>
                </c:pt>
                <c:pt idx="9">
                  <c:v>6.9606799999999996E-2</c:v>
                </c:pt>
                <c:pt idx="10">
                  <c:v>5.3173100000000001E-2</c:v>
                </c:pt>
                <c:pt idx="11">
                  <c:v>5.5194899999999998E-2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C1-451C-9FD2-01B18F993F9A}"/>
            </c:ext>
          </c:extLst>
        </c:ser>
        <c:ser>
          <c:idx val="1"/>
          <c:order val="1"/>
          <c:tx>
            <c:strRef>
              <c:f>Surface!$G$1</c:f>
              <c:strCache>
                <c:ptCount val="1"/>
                <c:pt idx="0">
                  <c:v>100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Surface!$A$2:$A$13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Surface!$G$2:$G$13</c:f>
              <c:numCache>
                <c:formatCode>0%</c:formatCode>
                <c:ptCount val="12"/>
                <c:pt idx="0">
                  <c:v>6.3526200000000005E-2</c:v>
                </c:pt>
                <c:pt idx="1">
                  <c:v>4.6062499999999999E-2</c:v>
                </c:pt>
                <c:pt idx="2">
                  <c:v>3.5098999999999998E-2</c:v>
                </c:pt>
                <c:pt idx="3">
                  <c:v>5.5789900000000003E-2</c:v>
                </c:pt>
                <c:pt idx="4">
                  <c:v>6.1161E-2</c:v>
                </c:pt>
                <c:pt idx="5">
                  <c:v>6.28166E-2</c:v>
                </c:pt>
                <c:pt idx="6">
                  <c:v>6.5944699999999995E-2</c:v>
                </c:pt>
                <c:pt idx="7">
                  <c:v>6.6783899999999993E-2</c:v>
                </c:pt>
                <c:pt idx="8">
                  <c:v>6.4273800000000006E-2</c:v>
                </c:pt>
                <c:pt idx="9">
                  <c:v>6.5807299999999999E-2</c:v>
                </c:pt>
                <c:pt idx="10">
                  <c:v>6.4792600000000006E-2</c:v>
                </c:pt>
                <c:pt idx="11">
                  <c:v>6.1977400000000002E-2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2C1-451C-9FD2-01B18F993F9A}"/>
            </c:ext>
          </c:extLst>
        </c:ser>
        <c:ser>
          <c:idx val="2"/>
          <c:order val="2"/>
          <c:tx>
            <c:strRef>
              <c:f>Surface!$I$1</c:f>
              <c:strCache>
                <c:ptCount val="1"/>
                <c:pt idx="0">
                  <c:v>120</c:v>
                </c:pt>
              </c:strCache>
            </c:strRef>
          </c:tx>
          <c:spPr>
            <a:ln w="28575" cap="rnd">
              <a:solidFill>
                <a:schemeClr val="accent5">
                  <a:shade val="6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Surface!$A$2:$A$13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Surface!$I$2:$I$13</c:f>
              <c:numCache>
                <c:formatCode>0%</c:formatCode>
                <c:ptCount val="12"/>
                <c:pt idx="0">
                  <c:v>9.9864999999999995E-2</c:v>
                </c:pt>
                <c:pt idx="1">
                  <c:v>6.64024E-2</c:v>
                </c:pt>
                <c:pt idx="2">
                  <c:v>5.3745300000000003E-2</c:v>
                </c:pt>
                <c:pt idx="3">
                  <c:v>6.5692899999999999E-2</c:v>
                </c:pt>
                <c:pt idx="4">
                  <c:v>4.0904999999999997E-2</c:v>
                </c:pt>
                <c:pt idx="5">
                  <c:v>5.4477699999999997E-2</c:v>
                </c:pt>
                <c:pt idx="6">
                  <c:v>5.4760000000000003E-2</c:v>
                </c:pt>
                <c:pt idx="7">
                  <c:v>5.2562699999999997E-2</c:v>
                </c:pt>
                <c:pt idx="8">
                  <c:v>5.6156200000000003E-2</c:v>
                </c:pt>
                <c:pt idx="9">
                  <c:v>5.9200299999999997E-2</c:v>
                </c:pt>
                <c:pt idx="10">
                  <c:v>5.3081499999999997E-2</c:v>
                </c:pt>
                <c:pt idx="11">
                  <c:v>4.9388899999999999E-2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C1-451C-9FD2-01B18F993F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4458040"/>
        <c:axId val="574453120"/>
      </c:lineChart>
      <c:catAx>
        <c:axId val="574458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Maturity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74453120"/>
        <c:crosses val="autoZero"/>
        <c:auto val="1"/>
        <c:lblAlgn val="ctr"/>
        <c:lblOffset val="100"/>
        <c:noMultiLvlLbl val="0"/>
      </c:catAx>
      <c:valAx>
        <c:axId val="574453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74458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Comparison!$A$2</c:f>
              <c:strCache>
                <c:ptCount val="1"/>
                <c:pt idx="0">
                  <c:v>Breakeven</c:v>
                </c:pt>
              </c:strCache>
            </c:strRef>
          </c:tx>
          <c:spPr>
            <a:ln w="28575" cap="rnd">
              <a:solidFill>
                <a:schemeClr val="accent1">
                  <a:shade val="76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Comparison!$B$1:$P$1</c:f>
              <c:strCache>
                <c:ptCount val="15"/>
                <c:pt idx="0">
                  <c:v>30</c:v>
                </c:pt>
                <c:pt idx="1">
                  <c:v>40</c:v>
                </c:pt>
                <c:pt idx="2">
                  <c:v>60</c:v>
                </c:pt>
                <c:pt idx="3">
                  <c:v>80</c:v>
                </c:pt>
                <c:pt idx="4">
                  <c:v>90</c:v>
                </c:pt>
                <c:pt idx="5">
                  <c:v>95</c:v>
                </c:pt>
                <c:pt idx="6">
                  <c:v>97.5</c:v>
                </c:pt>
                <c:pt idx="7">
                  <c:v>100</c:v>
                </c:pt>
                <c:pt idx="8">
                  <c:v>102.5</c:v>
                </c:pt>
                <c:pt idx="9">
                  <c:v>105</c:v>
                </c:pt>
                <c:pt idx="10">
                  <c:v>110</c:v>
                </c:pt>
                <c:pt idx="11">
                  <c:v>120</c:v>
                </c:pt>
                <c:pt idx="12">
                  <c:v>150</c:v>
                </c:pt>
                <c:pt idx="13">
                  <c:v>200</c:v>
                </c:pt>
                <c:pt idx="14">
                  <c:v>300</c:v>
                </c:pt>
              </c:strCache>
            </c:strRef>
          </c:cat>
          <c:val>
            <c:numRef>
              <c:f>Comparison!$B$2:$P$2</c:f>
              <c:numCache>
                <c:formatCode>0.00%</c:formatCode>
                <c:ptCount val="15"/>
                <c:pt idx="0">
                  <c:v>0.180592</c:v>
                </c:pt>
                <c:pt idx="1">
                  <c:v>0.13850799999999999</c:v>
                </c:pt>
                <c:pt idx="2">
                  <c:v>7.9639399999999999E-2</c:v>
                </c:pt>
                <c:pt idx="3">
                  <c:v>5.5194899999999998E-2</c:v>
                </c:pt>
                <c:pt idx="4">
                  <c:v>5.5324600000000002E-2</c:v>
                </c:pt>
                <c:pt idx="5">
                  <c:v>5.8490800000000003E-2</c:v>
                </c:pt>
                <c:pt idx="6">
                  <c:v>6.0443900000000002E-2</c:v>
                </c:pt>
                <c:pt idx="7">
                  <c:v>6.1977400000000002E-2</c:v>
                </c:pt>
                <c:pt idx="8">
                  <c:v>6.2984499999999999E-2</c:v>
                </c:pt>
                <c:pt idx="9">
                  <c:v>6.3304899999999997E-2</c:v>
                </c:pt>
                <c:pt idx="10">
                  <c:v>5.9986100000000001E-2</c:v>
                </c:pt>
                <c:pt idx="11">
                  <c:v>4.9388899999999999E-2</c:v>
                </c:pt>
                <c:pt idx="12">
                  <c:v>6.5456399999999998E-2</c:v>
                </c:pt>
                <c:pt idx="13">
                  <c:v>0.100582</c:v>
                </c:pt>
                <c:pt idx="14">
                  <c:v>0.15862699999999999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71-41DF-8A6B-A800F2813F9D}"/>
            </c:ext>
          </c:extLst>
        </c:ser>
        <c:ser>
          <c:idx val="1"/>
          <c:order val="1"/>
          <c:tx>
            <c:strRef>
              <c:f>Comparison!$A$3</c:f>
              <c:strCache>
                <c:ptCount val="1"/>
                <c:pt idx="0">
                  <c:v>Quoted</c:v>
                </c:pt>
              </c:strCache>
            </c:strRef>
          </c:tx>
          <c:spPr>
            <a:ln w="28575" cap="rnd">
              <a:solidFill>
                <a:schemeClr val="accent1">
                  <a:tint val="77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Comparison!$B$1:$P$1</c:f>
              <c:strCache>
                <c:ptCount val="15"/>
                <c:pt idx="0">
                  <c:v>30</c:v>
                </c:pt>
                <c:pt idx="1">
                  <c:v>40</c:v>
                </c:pt>
                <c:pt idx="2">
                  <c:v>60</c:v>
                </c:pt>
                <c:pt idx="3">
                  <c:v>80</c:v>
                </c:pt>
                <c:pt idx="4">
                  <c:v>90</c:v>
                </c:pt>
                <c:pt idx="5">
                  <c:v>95</c:v>
                </c:pt>
                <c:pt idx="6">
                  <c:v>97.5</c:v>
                </c:pt>
                <c:pt idx="7">
                  <c:v>100</c:v>
                </c:pt>
                <c:pt idx="8">
                  <c:v>102.5</c:v>
                </c:pt>
                <c:pt idx="9">
                  <c:v>105</c:v>
                </c:pt>
                <c:pt idx="10">
                  <c:v>110</c:v>
                </c:pt>
                <c:pt idx="11">
                  <c:v>120</c:v>
                </c:pt>
                <c:pt idx="12">
                  <c:v>150</c:v>
                </c:pt>
                <c:pt idx="13">
                  <c:v>200</c:v>
                </c:pt>
                <c:pt idx="14">
                  <c:v>300</c:v>
                </c:pt>
              </c:strCache>
            </c:strRef>
          </c:cat>
          <c:val>
            <c:numRef>
              <c:f>Comparison!$B$3:$P$3</c:f>
              <c:numCache>
                <c:formatCode>0.00%</c:formatCode>
                <c:ptCount val="15"/>
                <c:pt idx="0">
                  <c:v>0.37876500000000002</c:v>
                </c:pt>
                <c:pt idx="1">
                  <c:v>0.35469899999999999</c:v>
                </c:pt>
                <c:pt idx="2">
                  <c:v>0.28278799999999998</c:v>
                </c:pt>
                <c:pt idx="3">
                  <c:v>0.21049599999999999</c:v>
                </c:pt>
                <c:pt idx="4">
                  <c:v>0.17074500000000001</c:v>
                </c:pt>
                <c:pt idx="5">
                  <c:v>0.15266399999999999</c:v>
                </c:pt>
                <c:pt idx="6">
                  <c:v>0.14405999999999999</c:v>
                </c:pt>
                <c:pt idx="7">
                  <c:v>0.135321</c:v>
                </c:pt>
                <c:pt idx="8">
                  <c:v>0.125865</c:v>
                </c:pt>
                <c:pt idx="9">
                  <c:v>0.115106</c:v>
                </c:pt>
                <c:pt idx="10">
                  <c:v>9.6547999999999995E-2</c:v>
                </c:pt>
                <c:pt idx="11">
                  <c:v>9.8228999999999997E-2</c:v>
                </c:pt>
                <c:pt idx="12">
                  <c:v>0.108837</c:v>
                </c:pt>
                <c:pt idx="13">
                  <c:v>0.148953</c:v>
                </c:pt>
                <c:pt idx="14">
                  <c:v>0.18915199999999999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71-41DF-8A6B-A800F2813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4448200"/>
        <c:axId val="574448528"/>
      </c:lineChart>
      <c:catAx>
        <c:axId val="5744482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74448528"/>
        <c:crosses val="autoZero"/>
        <c:auto val="1"/>
        <c:lblAlgn val="ctr"/>
        <c:lblOffset val="100"/>
        <c:noMultiLvlLbl val="0"/>
      </c:catAx>
      <c:valAx>
        <c:axId val="57444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74448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376236</xdr:colOff>
      <xdr:row>14</xdr:row>
      <xdr:rowOff>76200</xdr:rowOff>
    </xdr:from>
    <xdr:to>
      <xdr:col>12</xdr:col>
      <xdr:colOff>561975</xdr:colOff>
      <xdr:row>40</xdr:row>
      <xdr:rowOff>152400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4EEAC912-64E3-481F-95E6-582461E750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0</xdr:row>
      <xdr:rowOff>161924</xdr:rowOff>
    </xdr:from>
    <xdr:to>
      <xdr:col>22</xdr:col>
      <xdr:colOff>200025</xdr:colOff>
      <xdr:row>20</xdr:row>
      <xdr:rowOff>85725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9B532A71-31F5-4040-BD23-57FCF9210B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333375</xdr:colOff>
      <xdr:row>21</xdr:row>
      <xdr:rowOff>85725</xdr:rowOff>
    </xdr:from>
    <xdr:to>
      <xdr:col>22</xdr:col>
      <xdr:colOff>238125</xdr:colOff>
      <xdr:row>41</xdr:row>
      <xdr:rowOff>9526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9EA3C498-2390-453E-A581-2C5AF3F5F3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733424</xdr:colOff>
      <xdr:row>7</xdr:row>
      <xdr:rowOff>180975</xdr:rowOff>
    </xdr:from>
    <xdr:to>
      <xdr:col>9</xdr:col>
      <xdr:colOff>428625</xdr:colOff>
      <xdr:row>27</xdr:row>
      <xdr:rowOff>123825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8E765EC1-1863-4A72-8C52-4BA67D8902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13"/>
  <sheetViews>
    <sheetView workbookViewId="0">
      <selection activeCell="B1" sqref="B1:L1"/>
    </sheetView>
  </sheetViews>
  <sheetFormatPr baseColWidth="10" defaultRowHeight="15" x14ac:dyDescent="0.25"/>
  <sheetData>
    <row r="1" spans="1:12" x14ac:dyDescent="0.25">
      <c r="A1" t="s">
        <v>0</v>
      </c>
      <c r="B1">
        <v>50</v>
      </c>
      <c r="C1">
        <v>60</v>
      </c>
      <c r="D1">
        <v>70</v>
      </c>
      <c r="E1">
        <v>80</v>
      </c>
      <c r="F1">
        <v>90</v>
      </c>
      <c r="G1">
        <v>100</v>
      </c>
      <c r="H1">
        <v>110</v>
      </c>
      <c r="I1">
        <v>120</v>
      </c>
      <c r="J1">
        <v>130</v>
      </c>
      <c r="K1">
        <v>140</v>
      </c>
      <c r="L1">
        <v>150</v>
      </c>
    </row>
    <row r="2" spans="1:12" x14ac:dyDescent="0.25">
      <c r="A2">
        <v>1</v>
      </c>
      <c r="B2" s="1">
        <v>0.36596299999999998</v>
      </c>
      <c r="C2" s="1">
        <v>0.27087800000000001</v>
      </c>
      <c r="D2" s="1">
        <v>0.19034999999999999</v>
      </c>
      <c r="E2" s="1">
        <v>0.120495</v>
      </c>
      <c r="F2" s="1">
        <v>7.3726700000000006E-2</v>
      </c>
      <c r="G2" s="1">
        <v>6.3526200000000005E-2</v>
      </c>
      <c r="H2" s="1">
        <v>6.4220399999999997E-2</v>
      </c>
      <c r="I2" s="1">
        <v>9.9864999999999995E-2</v>
      </c>
      <c r="J2" s="1">
        <v>0.141376</v>
      </c>
      <c r="K2" s="1">
        <v>0.17972199999999999</v>
      </c>
      <c r="L2" s="1">
        <v>0.215282</v>
      </c>
    </row>
    <row r="3" spans="1:12" x14ac:dyDescent="0.25">
      <c r="A3">
        <v>2</v>
      </c>
      <c r="B3" s="1">
        <v>0.25394800000000001</v>
      </c>
      <c r="C3" s="1">
        <v>0.18839600000000001</v>
      </c>
      <c r="D3" s="1">
        <v>0.13283200000000001</v>
      </c>
      <c r="E3" s="1">
        <v>8.4484100000000006E-2</v>
      </c>
      <c r="F3" s="1">
        <v>4.1828200000000003E-2</v>
      </c>
      <c r="G3" s="1">
        <v>4.6062499999999999E-2</v>
      </c>
      <c r="H3" s="1">
        <v>3.5945900000000003E-2</v>
      </c>
      <c r="I3" s="1">
        <v>6.64024E-2</v>
      </c>
      <c r="J3" s="1">
        <v>9.5256800000000003E-2</v>
      </c>
      <c r="K3" s="1">
        <v>0.121799</v>
      </c>
      <c r="L3" s="1">
        <v>0.14638100000000001</v>
      </c>
    </row>
    <row r="4" spans="1:12" x14ac:dyDescent="0.25">
      <c r="A4">
        <v>3</v>
      </c>
      <c r="B4" s="1">
        <v>0.20843100000000001</v>
      </c>
      <c r="C4" s="1">
        <v>0.15477399999999999</v>
      </c>
      <c r="D4" s="1">
        <v>0.109333</v>
      </c>
      <c r="E4" s="1">
        <v>6.9858600000000007E-2</v>
      </c>
      <c r="F4" s="1">
        <v>3.6724100000000003E-2</v>
      </c>
      <c r="G4" s="1">
        <v>3.5098999999999998E-2</v>
      </c>
      <c r="H4" s="1">
        <v>3.5442399999999999E-2</v>
      </c>
      <c r="I4" s="1">
        <v>5.3745300000000003E-2</v>
      </c>
      <c r="J4" s="1">
        <v>7.7510800000000005E-2</v>
      </c>
      <c r="K4" s="1">
        <v>9.9285100000000001E-2</v>
      </c>
      <c r="L4" s="1">
        <v>0.119434</v>
      </c>
    </row>
    <row r="5" spans="1:12" x14ac:dyDescent="0.25">
      <c r="A5">
        <v>4</v>
      </c>
      <c r="B5" s="1">
        <v>0.179646</v>
      </c>
      <c r="C5" s="1">
        <v>0.13313700000000001</v>
      </c>
      <c r="D5" s="1">
        <v>9.4043699999999994E-2</v>
      </c>
      <c r="E5" s="1">
        <v>6.8431900000000004E-2</v>
      </c>
      <c r="F5" s="1">
        <v>6.7943600000000007E-2</v>
      </c>
      <c r="G5" s="1">
        <v>5.5789900000000003E-2</v>
      </c>
      <c r="H5" s="1">
        <v>3.6251100000000001E-2</v>
      </c>
      <c r="I5" s="1">
        <v>6.5692899999999999E-2</v>
      </c>
      <c r="J5" s="1">
        <v>8.2225800000000002E-2</v>
      </c>
      <c r="K5" s="1">
        <v>9.3181600000000003E-2</v>
      </c>
      <c r="L5" s="1">
        <v>0.10864600000000001</v>
      </c>
    </row>
    <row r="6" spans="1:12" x14ac:dyDescent="0.25">
      <c r="A6">
        <v>5</v>
      </c>
      <c r="B6" s="1">
        <v>0.16276199999999999</v>
      </c>
      <c r="C6" s="1">
        <v>0.12159300000000001</v>
      </c>
      <c r="D6" s="1">
        <v>8.7078100000000005E-2</v>
      </c>
      <c r="E6" s="1">
        <v>6.3465099999999997E-2</v>
      </c>
      <c r="F6" s="1">
        <v>6.6875500000000004E-2</v>
      </c>
      <c r="G6" s="1">
        <v>6.1161E-2</v>
      </c>
      <c r="H6" s="1">
        <v>3.9157900000000002E-2</v>
      </c>
      <c r="I6" s="1">
        <v>4.0904999999999997E-2</v>
      </c>
      <c r="J6" s="1">
        <v>5.8490800000000003E-2</v>
      </c>
      <c r="K6" s="1">
        <v>7.5168600000000002E-2</v>
      </c>
      <c r="L6" s="1">
        <v>9.0671500000000002E-2</v>
      </c>
    </row>
    <row r="7" spans="1:12" x14ac:dyDescent="0.25">
      <c r="A7">
        <v>6</v>
      </c>
      <c r="B7" s="1">
        <v>0.147976</v>
      </c>
      <c r="C7" s="1">
        <v>0.110439</v>
      </c>
      <c r="D7" s="1">
        <v>7.9303700000000005E-2</v>
      </c>
      <c r="E7" s="1">
        <v>6.6745799999999994E-2</v>
      </c>
      <c r="F7" s="1">
        <v>6.6616099999999998E-2</v>
      </c>
      <c r="G7" s="1">
        <v>6.28166E-2</v>
      </c>
      <c r="H7" s="1">
        <v>3.0231500000000001E-2</v>
      </c>
      <c r="I7" s="1">
        <v>5.4477699999999997E-2</v>
      </c>
      <c r="J7" s="1">
        <v>5.8040599999999998E-2</v>
      </c>
      <c r="K7" s="1">
        <v>7.1071599999999999E-2</v>
      </c>
      <c r="L7" s="1">
        <v>8.4819800000000001E-2</v>
      </c>
    </row>
    <row r="8" spans="1:12" x14ac:dyDescent="0.25">
      <c r="A8">
        <v>7</v>
      </c>
      <c r="B8" s="1">
        <v>0.13866000000000001</v>
      </c>
      <c r="C8" s="1">
        <v>0.108761</v>
      </c>
      <c r="D8" s="1">
        <v>9.9185899999999994E-2</v>
      </c>
      <c r="E8" s="1">
        <v>8.8634500000000005E-2</v>
      </c>
      <c r="F8" s="1">
        <v>7.6366400000000001E-2</v>
      </c>
      <c r="G8" s="1">
        <v>6.5944699999999995E-2</v>
      </c>
      <c r="H8" s="1">
        <v>5.2272800000000001E-2</v>
      </c>
      <c r="I8" s="1">
        <v>5.4760000000000003E-2</v>
      </c>
      <c r="J8" s="1">
        <v>5.7613400000000002E-2</v>
      </c>
      <c r="K8" s="1">
        <v>6.6616099999999998E-2</v>
      </c>
      <c r="L8" s="1">
        <v>7.8975699999999996E-2</v>
      </c>
    </row>
    <row r="9" spans="1:12" x14ac:dyDescent="0.25">
      <c r="A9">
        <v>8</v>
      </c>
      <c r="B9" s="1">
        <v>0.129658</v>
      </c>
      <c r="C9" s="1">
        <v>9.8514599999999994E-2</v>
      </c>
      <c r="D9" s="1">
        <v>8.60176E-2</v>
      </c>
      <c r="E9" s="1">
        <v>8.1592600000000001E-2</v>
      </c>
      <c r="F9" s="1">
        <v>7.4817700000000001E-2</v>
      </c>
      <c r="G9" s="1">
        <v>6.6783899999999993E-2</v>
      </c>
      <c r="H9" s="1">
        <v>5.0830800000000002E-2</v>
      </c>
      <c r="I9" s="1">
        <v>5.2562699999999997E-2</v>
      </c>
      <c r="J9" s="1">
        <v>4.9602500000000001E-2</v>
      </c>
      <c r="K9" s="1">
        <v>6.0054799999999998E-2</v>
      </c>
      <c r="L9" s="1">
        <v>7.2193099999999996E-2</v>
      </c>
    </row>
    <row r="10" spans="1:12" x14ac:dyDescent="0.25">
      <c r="A10">
        <v>9</v>
      </c>
      <c r="B10" s="1">
        <v>0.120243</v>
      </c>
      <c r="C10" s="1">
        <v>8.9733099999999996E-2</v>
      </c>
      <c r="D10" s="1">
        <v>6.5639500000000003E-2</v>
      </c>
      <c r="E10" s="1">
        <v>6.4945199999999995E-2</v>
      </c>
      <c r="F10" s="1">
        <v>6.6509200000000004E-2</v>
      </c>
      <c r="G10" s="1">
        <v>6.4273800000000006E-2</v>
      </c>
      <c r="H10" s="1">
        <v>5.0998700000000001E-2</v>
      </c>
      <c r="I10" s="1">
        <v>5.6156200000000003E-2</v>
      </c>
      <c r="J10" s="1">
        <v>6.1557800000000003E-2</v>
      </c>
      <c r="K10" s="1">
        <v>6.6341399999999995E-2</v>
      </c>
      <c r="L10" s="1">
        <v>7.2635699999999997E-2</v>
      </c>
    </row>
    <row r="11" spans="1:12" x14ac:dyDescent="0.25">
      <c r="A11">
        <v>10</v>
      </c>
      <c r="B11" s="1">
        <v>0.118061</v>
      </c>
      <c r="C11" s="1">
        <v>8.9679700000000001E-2</v>
      </c>
      <c r="D11" s="1">
        <v>7.39784E-2</v>
      </c>
      <c r="E11" s="1">
        <v>6.9606799999999996E-2</v>
      </c>
      <c r="F11" s="1">
        <v>6.8012199999999995E-2</v>
      </c>
      <c r="G11" s="1">
        <v>6.5807299999999999E-2</v>
      </c>
      <c r="H11" s="1">
        <v>5.26924E-2</v>
      </c>
      <c r="I11" s="1">
        <v>5.9200299999999997E-2</v>
      </c>
      <c r="J11" s="1">
        <v>6.6455799999999995E-2</v>
      </c>
      <c r="K11" s="1">
        <v>7.0423100000000002E-2</v>
      </c>
      <c r="L11" s="1">
        <v>7.2353399999999998E-2</v>
      </c>
    </row>
    <row r="12" spans="1:12" x14ac:dyDescent="0.25">
      <c r="A12">
        <v>11</v>
      </c>
      <c r="B12" s="1">
        <v>0.110226</v>
      </c>
      <c r="C12" s="1">
        <v>8.2401299999999997E-2</v>
      </c>
      <c r="D12" s="1">
        <v>5.9284200000000002E-2</v>
      </c>
      <c r="E12" s="1">
        <v>5.3173100000000001E-2</v>
      </c>
      <c r="F12" s="1">
        <v>6.0550699999999999E-2</v>
      </c>
      <c r="G12" s="1">
        <v>6.4792600000000006E-2</v>
      </c>
      <c r="H12" s="1">
        <v>5.8719599999999997E-2</v>
      </c>
      <c r="I12" s="1">
        <v>5.3081499999999997E-2</v>
      </c>
      <c r="J12" s="1">
        <v>6.40984E-2</v>
      </c>
      <c r="K12" s="1">
        <v>6.8012199999999995E-2</v>
      </c>
      <c r="L12" s="1">
        <v>6.9675399999999998E-2</v>
      </c>
    </row>
    <row r="13" spans="1:12" x14ac:dyDescent="0.25">
      <c r="A13">
        <v>12</v>
      </c>
      <c r="B13" s="1">
        <v>0.10595300000000001</v>
      </c>
      <c r="C13" s="1">
        <v>7.9639399999999999E-2</v>
      </c>
      <c r="D13" s="1">
        <v>5.9558899999999998E-2</v>
      </c>
      <c r="E13" s="1">
        <v>5.5194899999999998E-2</v>
      </c>
      <c r="F13" s="1">
        <v>5.5324600000000002E-2</v>
      </c>
      <c r="G13" s="1">
        <v>6.1977400000000002E-2</v>
      </c>
      <c r="H13" s="1">
        <v>5.9986100000000001E-2</v>
      </c>
      <c r="I13" s="1">
        <v>4.9388899999999999E-2</v>
      </c>
      <c r="J13" s="1">
        <v>6.2511399999999995E-2</v>
      </c>
      <c r="K13" s="1">
        <v>6.5403000000000003E-2</v>
      </c>
      <c r="L13" s="1">
        <v>6.5456399999999998E-2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3AA24-E957-4E40-A0E7-857E3CE0771F}">
  <dimension ref="A1:P3"/>
  <sheetViews>
    <sheetView tabSelected="1" workbookViewId="0">
      <selection activeCell="G29" sqref="G29"/>
    </sheetView>
  </sheetViews>
  <sheetFormatPr baseColWidth="10" defaultRowHeight="15" x14ac:dyDescent="0.25"/>
  <sheetData>
    <row r="1" spans="1:16" x14ac:dyDescent="0.25">
      <c r="B1">
        <v>30</v>
      </c>
      <c r="C1">
        <v>40</v>
      </c>
      <c r="D1">
        <v>60</v>
      </c>
      <c r="E1">
        <v>80</v>
      </c>
      <c r="F1">
        <v>90</v>
      </c>
      <c r="G1">
        <v>95</v>
      </c>
      <c r="H1" t="s">
        <v>3</v>
      </c>
      <c r="I1">
        <v>100</v>
      </c>
      <c r="J1" t="s">
        <v>4</v>
      </c>
      <c r="K1">
        <v>105</v>
      </c>
      <c r="L1">
        <v>110</v>
      </c>
      <c r="M1">
        <v>120</v>
      </c>
      <c r="N1">
        <v>150</v>
      </c>
      <c r="O1">
        <v>200</v>
      </c>
      <c r="P1">
        <v>300</v>
      </c>
    </row>
    <row r="2" spans="1:16" s="18" customFormat="1" x14ac:dyDescent="0.25">
      <c r="A2" s="18" t="s">
        <v>1</v>
      </c>
      <c r="B2" s="18">
        <v>0.180592</v>
      </c>
      <c r="C2" s="18">
        <v>0.13850799999999999</v>
      </c>
      <c r="D2" s="18">
        <v>7.9639399999999999E-2</v>
      </c>
      <c r="E2" s="18">
        <v>5.5194899999999998E-2</v>
      </c>
      <c r="F2" s="18">
        <v>5.5324600000000002E-2</v>
      </c>
      <c r="G2" s="18">
        <v>5.8490800000000003E-2</v>
      </c>
      <c r="H2" s="18">
        <v>6.0443900000000002E-2</v>
      </c>
      <c r="I2" s="18">
        <v>6.1977400000000002E-2</v>
      </c>
      <c r="J2" s="18">
        <v>6.2984499999999999E-2</v>
      </c>
      <c r="K2" s="18">
        <v>6.3304899999999997E-2</v>
      </c>
      <c r="L2" s="18">
        <v>5.9986100000000001E-2</v>
      </c>
      <c r="M2" s="18">
        <v>4.9388899999999999E-2</v>
      </c>
      <c r="N2" s="18">
        <v>6.5456399999999998E-2</v>
      </c>
      <c r="O2" s="18">
        <v>0.100582</v>
      </c>
      <c r="P2" s="18">
        <v>0.15862699999999999</v>
      </c>
    </row>
    <row r="3" spans="1:16" x14ac:dyDescent="0.25">
      <c r="A3" t="s">
        <v>2</v>
      </c>
      <c r="B3" s="19">
        <v>0.37876500000000002</v>
      </c>
      <c r="C3" s="19">
        <v>0.35469899999999999</v>
      </c>
      <c r="D3" s="19">
        <v>0.28278799999999998</v>
      </c>
      <c r="E3" s="19">
        <v>0.21049599999999999</v>
      </c>
      <c r="F3" s="19">
        <v>0.17074500000000001</v>
      </c>
      <c r="G3" s="19">
        <v>0.15266399999999999</v>
      </c>
      <c r="H3" s="19">
        <v>0.14405999999999999</v>
      </c>
      <c r="I3" s="19">
        <v>0.135321</v>
      </c>
      <c r="J3" s="19">
        <v>0.125865</v>
      </c>
      <c r="K3" s="19">
        <v>0.115106</v>
      </c>
      <c r="L3" s="19">
        <v>9.6547999999999995E-2</v>
      </c>
      <c r="M3" s="19">
        <v>9.8228999999999997E-2</v>
      </c>
      <c r="N3" s="19">
        <v>0.108837</v>
      </c>
      <c r="O3" s="19">
        <v>0.148953</v>
      </c>
      <c r="P3" s="19">
        <v>0.18915199999999999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1A557-D86C-44DD-A983-48B104B8262A}">
  <dimension ref="A1:L41"/>
  <sheetViews>
    <sheetView workbookViewId="0">
      <selection activeCell="O18" sqref="O18"/>
    </sheetView>
  </sheetViews>
  <sheetFormatPr baseColWidth="10" defaultRowHeight="15" x14ac:dyDescent="0.25"/>
  <sheetData>
    <row r="1" spans="1:12" x14ac:dyDescent="0.25">
      <c r="A1" t="s">
        <v>0</v>
      </c>
      <c r="B1">
        <v>50</v>
      </c>
      <c r="C1">
        <v>60</v>
      </c>
      <c r="D1">
        <v>70</v>
      </c>
      <c r="E1">
        <v>80</v>
      </c>
      <c r="F1">
        <v>90</v>
      </c>
      <c r="G1">
        <v>100</v>
      </c>
      <c r="H1">
        <v>110</v>
      </c>
      <c r="I1">
        <v>120</v>
      </c>
      <c r="J1">
        <v>130</v>
      </c>
      <c r="K1">
        <v>140</v>
      </c>
      <c r="L1">
        <v>150</v>
      </c>
    </row>
    <row r="2" spans="1:12" x14ac:dyDescent="0.25">
      <c r="A2">
        <v>1</v>
      </c>
      <c r="B2">
        <v>0.36596299999999998</v>
      </c>
      <c r="C2">
        <v>0.27087800000000001</v>
      </c>
      <c r="D2">
        <v>0.19034999999999999</v>
      </c>
      <c r="E2">
        <v>0.120495</v>
      </c>
      <c r="F2">
        <v>7.3726700000000006E-2</v>
      </c>
      <c r="G2">
        <v>6.3526200000000005E-2</v>
      </c>
      <c r="H2">
        <v>6.4220399999999997E-2</v>
      </c>
      <c r="I2">
        <v>9.9864999999999995E-2</v>
      </c>
      <c r="J2">
        <v>0.141376</v>
      </c>
      <c r="K2">
        <v>0.17972199999999999</v>
      </c>
      <c r="L2">
        <v>0.215282</v>
      </c>
    </row>
    <row r="3" spans="1:12" x14ac:dyDescent="0.25">
      <c r="A3">
        <v>2</v>
      </c>
      <c r="B3">
        <v>0.25394800000000001</v>
      </c>
      <c r="C3">
        <v>0.18839600000000001</v>
      </c>
      <c r="D3">
        <v>0.13283200000000001</v>
      </c>
      <c r="E3">
        <v>8.4484100000000006E-2</v>
      </c>
      <c r="F3">
        <v>4.1828200000000003E-2</v>
      </c>
      <c r="G3">
        <v>4.6062499999999999E-2</v>
      </c>
      <c r="H3">
        <v>3.5945900000000003E-2</v>
      </c>
      <c r="I3">
        <v>6.64024E-2</v>
      </c>
      <c r="J3">
        <v>9.5256800000000003E-2</v>
      </c>
      <c r="K3">
        <v>0.121799</v>
      </c>
      <c r="L3">
        <v>0.14638100000000001</v>
      </c>
    </row>
    <row r="4" spans="1:12" x14ac:dyDescent="0.25">
      <c r="A4">
        <v>3</v>
      </c>
      <c r="B4">
        <v>0.20843100000000001</v>
      </c>
      <c r="C4">
        <v>0.15477399999999999</v>
      </c>
      <c r="D4">
        <v>0.109333</v>
      </c>
      <c r="E4">
        <v>6.9858600000000007E-2</v>
      </c>
      <c r="F4">
        <v>3.6724100000000003E-2</v>
      </c>
      <c r="G4">
        <v>3.5098999999999998E-2</v>
      </c>
      <c r="H4">
        <v>3.5442399999999999E-2</v>
      </c>
      <c r="I4">
        <v>5.3745300000000003E-2</v>
      </c>
      <c r="J4">
        <v>7.7510800000000005E-2</v>
      </c>
      <c r="K4">
        <v>9.9285100000000001E-2</v>
      </c>
      <c r="L4">
        <v>0.119434</v>
      </c>
    </row>
    <row r="5" spans="1:12" x14ac:dyDescent="0.25">
      <c r="A5">
        <v>4</v>
      </c>
      <c r="B5">
        <v>0.179646</v>
      </c>
      <c r="C5">
        <v>0.13313700000000001</v>
      </c>
      <c r="D5">
        <v>9.4043699999999994E-2</v>
      </c>
      <c r="E5">
        <v>6.8431900000000004E-2</v>
      </c>
      <c r="F5">
        <v>6.7943600000000007E-2</v>
      </c>
      <c r="G5">
        <v>5.5789900000000003E-2</v>
      </c>
      <c r="H5">
        <v>3.6251100000000001E-2</v>
      </c>
      <c r="I5">
        <v>6.5692899999999999E-2</v>
      </c>
      <c r="J5">
        <v>8.2225800000000002E-2</v>
      </c>
      <c r="K5">
        <v>9.3181600000000003E-2</v>
      </c>
      <c r="L5">
        <v>0.10864600000000001</v>
      </c>
    </row>
    <row r="6" spans="1:12" x14ac:dyDescent="0.25">
      <c r="A6">
        <v>5</v>
      </c>
      <c r="B6">
        <v>0.16276199999999999</v>
      </c>
      <c r="C6">
        <v>0.12159300000000001</v>
      </c>
      <c r="D6">
        <v>8.7078100000000005E-2</v>
      </c>
      <c r="E6">
        <v>6.3465099999999997E-2</v>
      </c>
      <c r="F6">
        <v>6.6875500000000004E-2</v>
      </c>
      <c r="G6">
        <v>6.1161E-2</v>
      </c>
      <c r="H6">
        <v>3.9157900000000002E-2</v>
      </c>
      <c r="I6">
        <v>4.0904999999999997E-2</v>
      </c>
      <c r="J6">
        <v>5.8490800000000003E-2</v>
      </c>
      <c r="K6">
        <v>7.5168600000000002E-2</v>
      </c>
      <c r="L6">
        <v>9.0671500000000002E-2</v>
      </c>
    </row>
    <row r="7" spans="1:12" x14ac:dyDescent="0.25">
      <c r="A7">
        <v>6</v>
      </c>
      <c r="B7">
        <v>0.147976</v>
      </c>
      <c r="C7">
        <v>0.110439</v>
      </c>
      <c r="D7">
        <v>7.9303700000000005E-2</v>
      </c>
      <c r="E7">
        <v>6.6745799999999994E-2</v>
      </c>
      <c r="F7">
        <v>6.6616099999999998E-2</v>
      </c>
      <c r="G7">
        <v>6.28166E-2</v>
      </c>
      <c r="H7">
        <v>3.0231500000000001E-2</v>
      </c>
      <c r="I7">
        <v>5.4477699999999997E-2</v>
      </c>
      <c r="J7">
        <v>5.8040599999999998E-2</v>
      </c>
      <c r="K7">
        <v>7.1071599999999999E-2</v>
      </c>
      <c r="L7">
        <v>8.4819800000000001E-2</v>
      </c>
    </row>
    <row r="8" spans="1:12" x14ac:dyDescent="0.25">
      <c r="A8">
        <v>7</v>
      </c>
      <c r="B8">
        <v>0.13866000000000001</v>
      </c>
      <c r="C8">
        <v>0.108761</v>
      </c>
      <c r="D8">
        <v>9.9185899999999994E-2</v>
      </c>
      <c r="E8">
        <v>8.8634500000000005E-2</v>
      </c>
      <c r="F8">
        <v>7.6366400000000001E-2</v>
      </c>
      <c r="G8">
        <v>6.5944699999999995E-2</v>
      </c>
      <c r="H8">
        <v>5.2272800000000001E-2</v>
      </c>
      <c r="I8">
        <v>5.4760000000000003E-2</v>
      </c>
      <c r="J8">
        <v>5.7613400000000002E-2</v>
      </c>
      <c r="K8">
        <v>6.6616099999999998E-2</v>
      </c>
      <c r="L8">
        <v>7.8975699999999996E-2</v>
      </c>
    </row>
    <row r="9" spans="1:12" x14ac:dyDescent="0.25">
      <c r="A9">
        <v>8</v>
      </c>
      <c r="B9">
        <v>0.129658</v>
      </c>
      <c r="C9">
        <v>9.8514599999999994E-2</v>
      </c>
      <c r="D9">
        <v>8.60176E-2</v>
      </c>
      <c r="E9">
        <v>8.1592600000000001E-2</v>
      </c>
      <c r="F9">
        <v>7.4817700000000001E-2</v>
      </c>
      <c r="G9">
        <v>6.6783899999999993E-2</v>
      </c>
      <c r="H9">
        <v>5.0830800000000002E-2</v>
      </c>
      <c r="I9">
        <v>5.2562699999999997E-2</v>
      </c>
      <c r="J9">
        <v>4.9602500000000001E-2</v>
      </c>
      <c r="K9">
        <v>6.0054799999999998E-2</v>
      </c>
      <c r="L9">
        <v>7.2193099999999996E-2</v>
      </c>
    </row>
    <row r="10" spans="1:12" x14ac:dyDescent="0.25">
      <c r="A10">
        <v>9</v>
      </c>
      <c r="B10">
        <v>0.120243</v>
      </c>
      <c r="C10">
        <v>8.9733099999999996E-2</v>
      </c>
      <c r="D10">
        <v>6.5639500000000003E-2</v>
      </c>
      <c r="E10">
        <v>6.4945199999999995E-2</v>
      </c>
      <c r="F10">
        <v>6.6509200000000004E-2</v>
      </c>
      <c r="G10">
        <v>6.4273800000000006E-2</v>
      </c>
      <c r="H10">
        <v>5.0998700000000001E-2</v>
      </c>
      <c r="I10">
        <v>5.6156200000000003E-2</v>
      </c>
      <c r="J10">
        <v>6.1557800000000003E-2</v>
      </c>
      <c r="K10">
        <v>6.6341399999999995E-2</v>
      </c>
      <c r="L10">
        <v>7.2635699999999997E-2</v>
      </c>
    </row>
    <row r="11" spans="1:12" x14ac:dyDescent="0.25">
      <c r="A11">
        <v>10</v>
      </c>
      <c r="B11">
        <v>0.118061</v>
      </c>
      <c r="C11">
        <v>8.9679700000000001E-2</v>
      </c>
      <c r="D11">
        <v>7.39784E-2</v>
      </c>
      <c r="E11">
        <v>6.9606799999999996E-2</v>
      </c>
      <c r="F11">
        <v>6.8012199999999995E-2</v>
      </c>
      <c r="G11">
        <v>6.5807299999999999E-2</v>
      </c>
      <c r="H11">
        <v>5.26924E-2</v>
      </c>
      <c r="I11">
        <v>5.9200299999999997E-2</v>
      </c>
      <c r="J11">
        <v>6.6455799999999995E-2</v>
      </c>
      <c r="K11">
        <v>7.0423100000000002E-2</v>
      </c>
      <c r="L11">
        <v>7.2353399999999998E-2</v>
      </c>
    </row>
    <row r="12" spans="1:12" x14ac:dyDescent="0.25">
      <c r="A12">
        <v>11</v>
      </c>
      <c r="B12">
        <v>0.110226</v>
      </c>
      <c r="C12">
        <v>8.2401299999999997E-2</v>
      </c>
      <c r="D12">
        <v>5.9284200000000002E-2</v>
      </c>
      <c r="E12">
        <v>5.3173100000000001E-2</v>
      </c>
      <c r="F12">
        <v>6.0550699999999999E-2</v>
      </c>
      <c r="G12">
        <v>6.4792600000000006E-2</v>
      </c>
      <c r="H12">
        <v>5.8719599999999997E-2</v>
      </c>
      <c r="I12">
        <v>5.3081499999999997E-2</v>
      </c>
      <c r="J12">
        <v>6.40984E-2</v>
      </c>
      <c r="K12">
        <v>6.8012199999999995E-2</v>
      </c>
      <c r="L12">
        <v>6.9675399999999998E-2</v>
      </c>
    </row>
    <row r="13" spans="1:12" x14ac:dyDescent="0.25">
      <c r="A13">
        <v>12</v>
      </c>
      <c r="B13">
        <v>0.10595300000000001</v>
      </c>
      <c r="C13">
        <v>7.9639399999999999E-2</v>
      </c>
      <c r="D13">
        <v>5.9558899999999998E-2</v>
      </c>
      <c r="E13">
        <v>5.5194899999999998E-2</v>
      </c>
      <c r="F13">
        <v>5.5324600000000002E-2</v>
      </c>
      <c r="G13">
        <v>6.1977400000000002E-2</v>
      </c>
      <c r="H13">
        <v>5.9986100000000001E-2</v>
      </c>
      <c r="I13">
        <v>4.9388899999999999E-2</v>
      </c>
      <c r="J13">
        <v>6.2511399999999995E-2</v>
      </c>
      <c r="K13">
        <v>6.5403000000000003E-2</v>
      </c>
      <c r="L13">
        <v>6.5456399999999998E-2</v>
      </c>
    </row>
    <row r="15" spans="1:12" x14ac:dyDescent="0.25">
      <c r="A15" t="s">
        <v>0</v>
      </c>
      <c r="B15">
        <v>50</v>
      </c>
      <c r="C15">
        <v>60</v>
      </c>
      <c r="D15">
        <v>70</v>
      </c>
      <c r="E15">
        <v>80</v>
      </c>
      <c r="F15">
        <v>90</v>
      </c>
      <c r="G15">
        <v>100</v>
      </c>
      <c r="H15">
        <v>110</v>
      </c>
      <c r="I15">
        <v>120</v>
      </c>
      <c r="J15">
        <v>130</v>
      </c>
      <c r="K15">
        <v>140</v>
      </c>
      <c r="L15">
        <v>150</v>
      </c>
    </row>
    <row r="16" spans="1:12" x14ac:dyDescent="0.25">
      <c r="A16">
        <v>1</v>
      </c>
      <c r="B16">
        <v>0.363369</v>
      </c>
      <c r="C16">
        <v>0.26908500000000002</v>
      </c>
      <c r="D16">
        <v>0.18921299999999999</v>
      </c>
      <c r="E16">
        <v>0.120029</v>
      </c>
      <c r="F16">
        <v>7.72896E-2</v>
      </c>
      <c r="G16">
        <v>6.4327200000000001E-2</v>
      </c>
      <c r="H16">
        <v>5.2913700000000001E-2</v>
      </c>
      <c r="I16">
        <v>9.7858399999999998E-2</v>
      </c>
      <c r="J16">
        <v>0.13927100000000001</v>
      </c>
      <c r="K16">
        <v>0.17738000000000001</v>
      </c>
      <c r="L16">
        <v>0.212673</v>
      </c>
    </row>
    <row r="17" spans="1:12" x14ac:dyDescent="0.25">
      <c r="A17">
        <v>2</v>
      </c>
      <c r="B17">
        <v>0.25149899999999997</v>
      </c>
      <c r="C17">
        <v>0.18643599999999999</v>
      </c>
      <c r="D17">
        <v>0.131268</v>
      </c>
      <c r="E17">
        <v>8.3255800000000005E-2</v>
      </c>
      <c r="F17">
        <v>4.06532E-2</v>
      </c>
      <c r="G17">
        <v>4.75883E-2</v>
      </c>
      <c r="H17">
        <v>3.4732800000000001E-2</v>
      </c>
      <c r="I17">
        <v>6.6196400000000002E-2</v>
      </c>
      <c r="J17">
        <v>9.4875299999999996E-2</v>
      </c>
      <c r="K17">
        <v>0.121212</v>
      </c>
      <c r="L17">
        <v>0.145588</v>
      </c>
    </row>
    <row r="18" spans="1:12" x14ac:dyDescent="0.25">
      <c r="A18">
        <v>3</v>
      </c>
      <c r="B18">
        <v>0.20736299999999999</v>
      </c>
      <c r="C18">
        <v>0.153919</v>
      </c>
      <c r="D18">
        <v>0.108624</v>
      </c>
      <c r="E18">
        <v>6.9255800000000006E-2</v>
      </c>
      <c r="F18">
        <v>3.5266899999999997E-2</v>
      </c>
      <c r="G18">
        <v>3.5839099999999999E-2</v>
      </c>
      <c r="H18">
        <v>2.7149199999999998E-2</v>
      </c>
      <c r="I18">
        <v>5.3630799999999999E-2</v>
      </c>
      <c r="J18">
        <v>7.7320100000000003E-2</v>
      </c>
      <c r="K18">
        <v>9.8972299999999999E-2</v>
      </c>
      <c r="L18">
        <v>0.119007</v>
      </c>
    </row>
    <row r="19" spans="1:12" x14ac:dyDescent="0.25">
      <c r="A19">
        <v>4</v>
      </c>
      <c r="B19">
        <v>0.17921799999999999</v>
      </c>
      <c r="C19">
        <v>0.132717</v>
      </c>
      <c r="D19">
        <v>9.3486799999999995E-2</v>
      </c>
      <c r="E19">
        <v>6.3167600000000004E-2</v>
      </c>
      <c r="F19">
        <v>6.6516900000000004E-2</v>
      </c>
      <c r="G19">
        <v>5.5690799999999999E-2</v>
      </c>
      <c r="H19">
        <v>2.9956799999999999E-2</v>
      </c>
      <c r="I19">
        <v>6.8019899999999994E-2</v>
      </c>
      <c r="J19">
        <v>8.4171300000000004E-2</v>
      </c>
      <c r="K19">
        <v>9.3784300000000001E-2</v>
      </c>
      <c r="L19">
        <v>0.108128</v>
      </c>
    </row>
    <row r="20" spans="1:12" x14ac:dyDescent="0.25">
      <c r="A20">
        <v>5</v>
      </c>
      <c r="B20">
        <v>0.161938</v>
      </c>
      <c r="C20">
        <v>0.120785</v>
      </c>
      <c r="D20">
        <v>8.6116799999999993E-2</v>
      </c>
      <c r="E20">
        <v>5.8544199999999998E-2</v>
      </c>
      <c r="F20">
        <v>6.1756100000000001E-2</v>
      </c>
      <c r="G20">
        <v>6.0703300000000002E-2</v>
      </c>
      <c r="H20">
        <v>2.65846E-2</v>
      </c>
      <c r="I20">
        <v>4.1133900000000001E-2</v>
      </c>
      <c r="J20">
        <v>5.8414500000000001E-2</v>
      </c>
      <c r="K20">
        <v>7.5015999999999999E-2</v>
      </c>
      <c r="L20">
        <v>9.0450299999999997E-2</v>
      </c>
    </row>
    <row r="21" spans="1:12" x14ac:dyDescent="0.25">
      <c r="A21">
        <v>6</v>
      </c>
      <c r="B21">
        <v>0.147457</v>
      </c>
      <c r="C21">
        <v>0.10993600000000001</v>
      </c>
      <c r="D21">
        <v>7.8594200000000003E-2</v>
      </c>
      <c r="E21">
        <v>6.3083600000000004E-2</v>
      </c>
      <c r="F21">
        <v>6.4273800000000006E-2</v>
      </c>
      <c r="G21">
        <v>6.2397000000000001E-2</v>
      </c>
      <c r="H21">
        <v>3.9318100000000002E-2</v>
      </c>
      <c r="I21">
        <v>5.8017699999999998E-2</v>
      </c>
      <c r="J21">
        <v>5.9909799999999999E-2</v>
      </c>
      <c r="K21">
        <v>7.1254700000000004E-2</v>
      </c>
      <c r="L21">
        <v>8.4796899999999995E-2</v>
      </c>
    </row>
    <row r="22" spans="1:12" x14ac:dyDescent="0.25">
      <c r="A22">
        <v>7</v>
      </c>
      <c r="B22">
        <v>0.13716500000000001</v>
      </c>
      <c r="C22">
        <v>0.103214</v>
      </c>
      <c r="D22">
        <v>8.4400199999999995E-2</v>
      </c>
      <c r="E22">
        <v>8.0715200000000001E-2</v>
      </c>
      <c r="F22">
        <v>7.2719599999999995E-2</v>
      </c>
      <c r="G22">
        <v>6.5326700000000001E-2</v>
      </c>
      <c r="H22">
        <v>5.1509899999999997E-2</v>
      </c>
      <c r="I22">
        <v>6.0756699999999997E-2</v>
      </c>
      <c r="J22">
        <v>6.5799700000000003E-2</v>
      </c>
      <c r="K22">
        <v>7.2803499999999993E-2</v>
      </c>
      <c r="L22">
        <v>8.1211099999999994E-2</v>
      </c>
    </row>
    <row r="23" spans="1:12" x14ac:dyDescent="0.25">
      <c r="A23">
        <v>8</v>
      </c>
      <c r="B23">
        <v>0.12862000000000001</v>
      </c>
      <c r="C23">
        <v>9.6775100000000003E-2</v>
      </c>
      <c r="D23">
        <v>7.8868900000000006E-2</v>
      </c>
      <c r="E23">
        <v>7.7465099999999995E-2</v>
      </c>
      <c r="F23">
        <v>7.2444900000000007E-2</v>
      </c>
      <c r="G23">
        <v>6.5982799999999994E-2</v>
      </c>
      <c r="H23">
        <v>5.2509300000000002E-2</v>
      </c>
      <c r="I23">
        <v>5.7346300000000003E-2</v>
      </c>
      <c r="J23">
        <v>5.6850400000000002E-2</v>
      </c>
      <c r="K23">
        <v>6.0855899999999997E-2</v>
      </c>
      <c r="L23">
        <v>7.2391499999999998E-2</v>
      </c>
    </row>
    <row r="24" spans="1:12" x14ac:dyDescent="0.25">
      <c r="A24">
        <v>9</v>
      </c>
      <c r="B24">
        <v>0.120251</v>
      </c>
      <c r="C24">
        <v>8.9672100000000005E-2</v>
      </c>
      <c r="D24">
        <v>6.4922300000000002E-2</v>
      </c>
      <c r="E24">
        <v>6.3175200000000001E-2</v>
      </c>
      <c r="F24">
        <v>6.4884200000000003E-2</v>
      </c>
      <c r="G24">
        <v>6.37321E-2</v>
      </c>
      <c r="H24">
        <v>5.1837899999999999E-2</v>
      </c>
      <c r="I24">
        <v>5.9124000000000003E-2</v>
      </c>
      <c r="J24">
        <v>6.2572500000000003E-2</v>
      </c>
      <c r="K24">
        <v>6.5639500000000003E-2</v>
      </c>
      <c r="L24">
        <v>7.1727799999999994E-2</v>
      </c>
    </row>
    <row r="25" spans="1:12" x14ac:dyDescent="0.25">
      <c r="A25">
        <v>10</v>
      </c>
      <c r="B25">
        <v>0.117588</v>
      </c>
      <c r="C25">
        <v>8.9054099999999997E-2</v>
      </c>
      <c r="D25">
        <v>7.2727200000000006E-2</v>
      </c>
      <c r="E25">
        <v>6.9889099999999996E-2</v>
      </c>
      <c r="F25">
        <v>6.7691799999999996E-2</v>
      </c>
      <c r="G25">
        <v>6.5257999999999997E-2</v>
      </c>
      <c r="H25">
        <v>5.4058099999999998E-2</v>
      </c>
      <c r="I25">
        <v>5.9917400000000003E-2</v>
      </c>
      <c r="J25">
        <v>6.4418799999999998E-2</v>
      </c>
      <c r="K25">
        <v>6.6043900000000003E-2</v>
      </c>
      <c r="L25">
        <v>6.7363699999999999E-2</v>
      </c>
    </row>
    <row r="26" spans="1:12" x14ac:dyDescent="0.25">
      <c r="A26">
        <v>11</v>
      </c>
      <c r="B26">
        <v>0.110401</v>
      </c>
      <c r="C26">
        <v>8.2691200000000006E-2</v>
      </c>
      <c r="D26">
        <v>6.0062400000000002E-2</v>
      </c>
      <c r="E26">
        <v>5.7735399999999999E-2</v>
      </c>
      <c r="F26">
        <v>6.1954500000000003E-2</v>
      </c>
      <c r="G26">
        <v>6.4342499999999997E-2</v>
      </c>
      <c r="H26">
        <v>5.91164E-2</v>
      </c>
      <c r="I26">
        <v>5.3501100000000003E-2</v>
      </c>
      <c r="J26">
        <v>6.2755599999999995E-2</v>
      </c>
      <c r="K26">
        <v>6.4319600000000005E-2</v>
      </c>
      <c r="L26">
        <v>6.4502699999999996E-2</v>
      </c>
    </row>
    <row r="27" spans="1:12" x14ac:dyDescent="0.25">
      <c r="A27">
        <v>12</v>
      </c>
      <c r="B27">
        <v>0.105808</v>
      </c>
      <c r="C27">
        <v>7.9441100000000001E-2</v>
      </c>
      <c r="D27">
        <v>5.8704399999999997E-2</v>
      </c>
      <c r="E27">
        <v>5.4592099999999998E-2</v>
      </c>
      <c r="F27">
        <v>5.59044E-2</v>
      </c>
      <c r="G27">
        <v>6.1725599999999999E-2</v>
      </c>
      <c r="H27">
        <v>6.0199700000000002E-2</v>
      </c>
      <c r="I27">
        <v>4.8358900000000003E-2</v>
      </c>
      <c r="J27">
        <v>6.1450999999999999E-2</v>
      </c>
      <c r="K27">
        <v>6.2107099999999998E-2</v>
      </c>
      <c r="L27">
        <v>6.1374699999999997E-2</v>
      </c>
    </row>
    <row r="28" spans="1:12" ht="15.75" thickBot="1" x14ac:dyDescent="0.3"/>
    <row r="29" spans="1:12" ht="15.75" thickBot="1" x14ac:dyDescent="0.3">
      <c r="A29" s="8" t="s">
        <v>0</v>
      </c>
      <c r="B29" s="5">
        <v>50</v>
      </c>
      <c r="C29" s="6">
        <v>60</v>
      </c>
      <c r="D29" s="6">
        <v>70</v>
      </c>
      <c r="E29" s="6">
        <v>80</v>
      </c>
      <c r="F29" s="6">
        <v>90</v>
      </c>
      <c r="G29" s="6">
        <v>100</v>
      </c>
      <c r="H29" s="6">
        <v>110</v>
      </c>
      <c r="I29" s="6">
        <v>120</v>
      </c>
      <c r="J29" s="6">
        <v>130</v>
      </c>
      <c r="K29" s="6">
        <v>140</v>
      </c>
      <c r="L29" s="7">
        <v>150</v>
      </c>
    </row>
    <row r="30" spans="1:12" x14ac:dyDescent="0.25">
      <c r="A30" s="2">
        <v>1</v>
      </c>
      <c r="B30" s="9">
        <f>B2-B16</f>
        <v>2.5939999999999852E-3</v>
      </c>
      <c r="C30" s="10">
        <f t="shared" ref="C30:L30" si="0">C2-C16</f>
        <v>1.792999999999989E-3</v>
      </c>
      <c r="D30" s="10">
        <f t="shared" si="0"/>
        <v>1.1369999999999991E-3</v>
      </c>
      <c r="E30" s="10">
        <f t="shared" si="0"/>
        <v>4.6600000000000807E-4</v>
      </c>
      <c r="F30" s="10">
        <f t="shared" si="0"/>
        <v>-3.5628999999999938E-3</v>
      </c>
      <c r="G30" s="10">
        <f t="shared" si="0"/>
        <v>-8.0099999999999616E-4</v>
      </c>
      <c r="H30" s="10">
        <f t="shared" si="0"/>
        <v>1.1306699999999996E-2</v>
      </c>
      <c r="I30" s="10">
        <f t="shared" si="0"/>
        <v>2.0065999999999973E-3</v>
      </c>
      <c r="J30" s="10">
        <f t="shared" si="0"/>
        <v>2.1049999999999958E-3</v>
      </c>
      <c r="K30" s="10">
        <f t="shared" si="0"/>
        <v>2.341999999999983E-3</v>
      </c>
      <c r="L30" s="11">
        <f t="shared" si="0"/>
        <v>2.6090000000000002E-3</v>
      </c>
    </row>
    <row r="31" spans="1:12" x14ac:dyDescent="0.25">
      <c r="A31" s="3">
        <v>2</v>
      </c>
      <c r="B31" s="12">
        <f t="shared" ref="B31:L40" si="1">B3-B17</f>
        <v>2.4490000000000345E-3</v>
      </c>
      <c r="C31" s="13">
        <f t="shared" si="1"/>
        <v>1.9600000000000173E-3</v>
      </c>
      <c r="D31" s="13">
        <f t="shared" si="1"/>
        <v>1.5640000000000098E-3</v>
      </c>
      <c r="E31" s="13">
        <f t="shared" si="1"/>
        <v>1.2283000000000016E-3</v>
      </c>
      <c r="F31" s="13">
        <f t="shared" si="1"/>
        <v>1.1750000000000024E-3</v>
      </c>
      <c r="G31" s="13">
        <f t="shared" si="1"/>
        <v>-1.5258000000000008E-3</v>
      </c>
      <c r="H31" s="13">
        <f t="shared" si="1"/>
        <v>1.2131000000000017E-3</v>
      </c>
      <c r="I31" s="13">
        <f t="shared" si="1"/>
        <v>2.0599999999999785E-4</v>
      </c>
      <c r="J31" s="13">
        <f t="shared" si="1"/>
        <v>3.8150000000000683E-4</v>
      </c>
      <c r="K31" s="13">
        <f t="shared" si="1"/>
        <v>5.8700000000000419E-4</v>
      </c>
      <c r="L31" s="14">
        <f t="shared" si="1"/>
        <v>7.9300000000001591E-4</v>
      </c>
    </row>
    <row r="32" spans="1:12" x14ac:dyDescent="0.25">
      <c r="A32" s="3">
        <v>3</v>
      </c>
      <c r="B32" s="12">
        <f t="shared" si="1"/>
        <v>1.0680000000000134E-3</v>
      </c>
      <c r="C32" s="13">
        <f t="shared" si="1"/>
        <v>8.5499999999999465E-4</v>
      </c>
      <c r="D32" s="13">
        <f t="shared" si="1"/>
        <v>7.090000000000013E-4</v>
      </c>
      <c r="E32" s="13">
        <f t="shared" si="1"/>
        <v>6.0280000000000056E-4</v>
      </c>
      <c r="F32" s="13">
        <f t="shared" si="1"/>
        <v>1.4572000000000057E-3</v>
      </c>
      <c r="G32" s="13">
        <f t="shared" si="1"/>
        <v>-7.4010000000000048E-4</v>
      </c>
      <c r="H32" s="13">
        <f t="shared" si="1"/>
        <v>8.2932000000000006E-3</v>
      </c>
      <c r="I32" s="13">
        <f t="shared" si="1"/>
        <v>1.1450000000000349E-4</v>
      </c>
      <c r="J32" s="13">
        <f t="shared" si="1"/>
        <v>1.9070000000000198E-4</v>
      </c>
      <c r="K32" s="13">
        <f t="shared" si="1"/>
        <v>3.1280000000000197E-4</v>
      </c>
      <c r="L32" s="14">
        <f t="shared" si="1"/>
        <v>4.2699999999999683E-4</v>
      </c>
    </row>
    <row r="33" spans="1:12" x14ac:dyDescent="0.25">
      <c r="A33" s="3">
        <v>4</v>
      </c>
      <c r="B33" s="12">
        <f t="shared" si="1"/>
        <v>4.280000000000117E-4</v>
      </c>
      <c r="C33" s="13">
        <f t="shared" si="1"/>
        <v>4.200000000000037E-4</v>
      </c>
      <c r="D33" s="13">
        <f t="shared" si="1"/>
        <v>5.5689999999999906E-4</v>
      </c>
      <c r="E33" s="13">
        <f t="shared" si="1"/>
        <v>5.2642999999999995E-3</v>
      </c>
      <c r="F33" s="13">
        <f t="shared" si="1"/>
        <v>1.426700000000003E-3</v>
      </c>
      <c r="G33" s="13">
        <f t="shared" si="1"/>
        <v>9.910000000000474E-5</v>
      </c>
      <c r="H33" s="13">
        <f t="shared" si="1"/>
        <v>6.2943000000000027E-3</v>
      </c>
      <c r="I33" s="13">
        <f t="shared" si="1"/>
        <v>-2.3269999999999957E-3</v>
      </c>
      <c r="J33" s="13">
        <f t="shared" si="1"/>
        <v>-1.9455000000000028E-3</v>
      </c>
      <c r="K33" s="13">
        <f t="shared" si="1"/>
        <v>-6.0269999999999768E-4</v>
      </c>
      <c r="L33" s="14">
        <f t="shared" si="1"/>
        <v>5.1800000000000457E-4</v>
      </c>
    </row>
    <row r="34" spans="1:12" x14ac:dyDescent="0.25">
      <c r="A34" s="3">
        <v>5</v>
      </c>
      <c r="B34" s="12">
        <f t="shared" si="1"/>
        <v>8.2399999999999141E-4</v>
      </c>
      <c r="C34" s="13">
        <f t="shared" si="1"/>
        <v>8.0800000000000316E-4</v>
      </c>
      <c r="D34" s="13">
        <f t="shared" si="1"/>
        <v>9.6130000000001214E-4</v>
      </c>
      <c r="E34" s="13">
        <f t="shared" si="1"/>
        <v>4.9208999999999989E-3</v>
      </c>
      <c r="F34" s="13">
        <f t="shared" si="1"/>
        <v>5.1194000000000031E-3</v>
      </c>
      <c r="G34" s="13">
        <f t="shared" si="1"/>
        <v>4.5769999999999839E-4</v>
      </c>
      <c r="H34" s="13">
        <f t="shared" si="1"/>
        <v>1.2573300000000003E-2</v>
      </c>
      <c r="I34" s="13">
        <f t="shared" si="1"/>
        <v>-2.289000000000041E-4</v>
      </c>
      <c r="J34" s="13">
        <f t="shared" si="1"/>
        <v>7.6300000000001367E-5</v>
      </c>
      <c r="K34" s="13">
        <f t="shared" si="1"/>
        <v>1.5260000000000273E-4</v>
      </c>
      <c r="L34" s="14">
        <f t="shared" si="1"/>
        <v>2.2120000000000473E-4</v>
      </c>
    </row>
    <row r="35" spans="1:12" x14ac:dyDescent="0.25">
      <c r="A35" s="3">
        <v>6</v>
      </c>
      <c r="B35" s="12">
        <f t="shared" si="1"/>
        <v>5.1899999999999169E-4</v>
      </c>
      <c r="C35" s="13">
        <f t="shared" si="1"/>
        <v>5.0299999999998957E-4</v>
      </c>
      <c r="D35" s="13">
        <f t="shared" si="1"/>
        <v>7.095000000000018E-4</v>
      </c>
      <c r="E35" s="13">
        <f t="shared" si="1"/>
        <v>3.6621999999999905E-3</v>
      </c>
      <c r="F35" s="13">
        <f t="shared" si="1"/>
        <v>2.3422999999999916E-3</v>
      </c>
      <c r="G35" s="13">
        <f t="shared" si="1"/>
        <v>4.1959999999999914E-4</v>
      </c>
      <c r="H35" s="13">
        <f t="shared" si="1"/>
        <v>-9.0866000000000002E-3</v>
      </c>
      <c r="I35" s="13">
        <f t="shared" si="1"/>
        <v>-3.5400000000000015E-3</v>
      </c>
      <c r="J35" s="13">
        <f t="shared" si="1"/>
        <v>-1.8692000000000014E-3</v>
      </c>
      <c r="K35" s="13">
        <f t="shared" si="1"/>
        <v>-1.8310000000000548E-4</v>
      </c>
      <c r="L35" s="14">
        <f t="shared" si="1"/>
        <v>2.2900000000006249E-5</v>
      </c>
    </row>
    <row r="36" spans="1:12" x14ac:dyDescent="0.25">
      <c r="A36" s="3">
        <v>7</v>
      </c>
      <c r="B36" s="12">
        <f t="shared" si="1"/>
        <v>1.4949999999999963E-3</v>
      </c>
      <c r="C36" s="13">
        <f t="shared" si="1"/>
        <v>5.5469999999999964E-3</v>
      </c>
      <c r="D36" s="13">
        <f t="shared" si="1"/>
        <v>1.4785699999999999E-2</v>
      </c>
      <c r="E36" s="13">
        <f t="shared" si="1"/>
        <v>7.9193000000000041E-3</v>
      </c>
      <c r="F36" s="13">
        <f t="shared" si="1"/>
        <v>3.6468000000000056E-3</v>
      </c>
      <c r="G36" s="13">
        <f t="shared" si="1"/>
        <v>6.1799999999999355E-4</v>
      </c>
      <c r="H36" s="13">
        <f t="shared" si="1"/>
        <v>7.6290000000000385E-4</v>
      </c>
      <c r="I36" s="13">
        <f t="shared" si="1"/>
        <v>-5.9966999999999937E-3</v>
      </c>
      <c r="J36" s="13">
        <f t="shared" si="1"/>
        <v>-8.1863000000000005E-3</v>
      </c>
      <c r="K36" s="13">
        <f t="shared" si="1"/>
        <v>-6.1873999999999957E-3</v>
      </c>
      <c r="L36" s="14">
        <f t="shared" si="1"/>
        <v>-2.2353999999999985E-3</v>
      </c>
    </row>
    <row r="37" spans="1:12" x14ac:dyDescent="0.25">
      <c r="A37" s="3">
        <v>8</v>
      </c>
      <c r="B37" s="12">
        <f t="shared" si="1"/>
        <v>1.0379999999999834E-3</v>
      </c>
      <c r="C37" s="13">
        <f t="shared" si="1"/>
        <v>1.7394999999999911E-3</v>
      </c>
      <c r="D37" s="13">
        <f t="shared" si="1"/>
        <v>7.1486999999999939E-3</v>
      </c>
      <c r="E37" s="13">
        <f t="shared" si="1"/>
        <v>4.1275000000000062E-3</v>
      </c>
      <c r="F37" s="13">
        <f t="shared" si="1"/>
        <v>2.3727999999999944E-3</v>
      </c>
      <c r="G37" s="13">
        <f t="shared" si="1"/>
        <v>8.0109999999999904E-4</v>
      </c>
      <c r="H37" s="13">
        <f t="shared" si="1"/>
        <v>-1.6784999999999994E-3</v>
      </c>
      <c r="I37" s="13">
        <f t="shared" si="1"/>
        <v>-4.7836000000000059E-3</v>
      </c>
      <c r="J37" s="13">
        <f t="shared" si="1"/>
        <v>-7.2479000000000016E-3</v>
      </c>
      <c r="K37" s="13">
        <f t="shared" si="1"/>
        <v>-8.0109999999999904E-4</v>
      </c>
      <c r="L37" s="14">
        <f t="shared" si="1"/>
        <v>-1.9840000000000135E-4</v>
      </c>
    </row>
    <row r="38" spans="1:12" x14ac:dyDescent="0.25">
      <c r="A38" s="3">
        <v>9</v>
      </c>
      <c r="B38" s="12">
        <f t="shared" si="1"/>
        <v>-7.9999999999941229E-6</v>
      </c>
      <c r="C38" s="13">
        <f t="shared" si="1"/>
        <v>6.0999999999991616E-5</v>
      </c>
      <c r="D38" s="13">
        <f t="shared" si="1"/>
        <v>7.1720000000000117E-4</v>
      </c>
      <c r="E38" s="13">
        <f t="shared" si="1"/>
        <v>1.7699999999999938E-3</v>
      </c>
      <c r="F38" s="13">
        <f t="shared" si="1"/>
        <v>1.6250000000000014E-3</v>
      </c>
      <c r="G38" s="13">
        <f t="shared" si="1"/>
        <v>5.4170000000000607E-4</v>
      </c>
      <c r="H38" s="13">
        <f t="shared" si="1"/>
        <v>-8.3919999999999828E-4</v>
      </c>
      <c r="I38" s="13">
        <f t="shared" si="1"/>
        <v>-2.9677999999999996E-3</v>
      </c>
      <c r="J38" s="13">
        <f t="shared" si="1"/>
        <v>-1.0147000000000003E-3</v>
      </c>
      <c r="K38" s="13">
        <f t="shared" si="1"/>
        <v>7.0189999999999142E-4</v>
      </c>
      <c r="L38" s="14">
        <f t="shared" si="1"/>
        <v>9.0790000000000315E-4</v>
      </c>
    </row>
    <row r="39" spans="1:12" x14ac:dyDescent="0.25">
      <c r="A39" s="3">
        <v>10</v>
      </c>
      <c r="B39" s="12">
        <f t="shared" si="1"/>
        <v>4.730000000000012E-4</v>
      </c>
      <c r="C39" s="13">
        <f t="shared" si="1"/>
        <v>6.2560000000000393E-4</v>
      </c>
      <c r="D39" s="13">
        <f t="shared" si="1"/>
        <v>1.251199999999994E-3</v>
      </c>
      <c r="E39" s="13">
        <f t="shared" si="1"/>
        <v>-2.8229999999999922E-4</v>
      </c>
      <c r="F39" s="13">
        <f t="shared" si="1"/>
        <v>3.2039999999999846E-4</v>
      </c>
      <c r="G39" s="13">
        <f t="shared" si="1"/>
        <v>5.4930000000000256E-4</v>
      </c>
      <c r="H39" s="13">
        <f t="shared" si="1"/>
        <v>-1.3656999999999975E-3</v>
      </c>
      <c r="I39" s="13">
        <f t="shared" si="1"/>
        <v>-7.1710000000000523E-4</v>
      </c>
      <c r="J39" s="13">
        <f t="shared" si="1"/>
        <v>2.0369999999999971E-3</v>
      </c>
      <c r="K39" s="13">
        <f t="shared" si="1"/>
        <v>4.3791999999999998E-3</v>
      </c>
      <c r="L39" s="14">
        <f t="shared" si="1"/>
        <v>4.9896999999999997E-3</v>
      </c>
    </row>
    <row r="40" spans="1:12" x14ac:dyDescent="0.25">
      <c r="A40" s="3">
        <v>11</v>
      </c>
      <c r="B40" s="12">
        <f t="shared" si="1"/>
        <v>-1.749999999999946E-4</v>
      </c>
      <c r="C40" s="13">
        <f t="shared" si="1"/>
        <v>-2.8990000000000959E-4</v>
      </c>
      <c r="D40" s="13">
        <f t="shared" si="1"/>
        <v>-7.7819999999999973E-4</v>
      </c>
      <c r="E40" s="13">
        <f t="shared" si="1"/>
        <v>-4.5622999999999983E-3</v>
      </c>
      <c r="F40" s="13">
        <f t="shared" si="1"/>
        <v>-1.4038000000000037E-3</v>
      </c>
      <c r="G40" s="13">
        <f t="shared" si="1"/>
        <v>4.5010000000000883E-4</v>
      </c>
      <c r="H40" s="13">
        <f t="shared" si="1"/>
        <v>-3.9680000000000271E-4</v>
      </c>
      <c r="I40" s="13">
        <f t="shared" si="1"/>
        <v>-4.1960000000000608E-4</v>
      </c>
      <c r="J40" s="13">
        <f t="shared" si="1"/>
        <v>1.3428000000000051E-3</v>
      </c>
      <c r="K40" s="13">
        <f t="shared" si="1"/>
        <v>3.6925999999999903E-3</v>
      </c>
      <c r="L40" s="14">
        <f t="shared" si="1"/>
        <v>5.1727000000000023E-3</v>
      </c>
    </row>
    <row r="41" spans="1:12" ht="15.75" thickBot="1" x14ac:dyDescent="0.3">
      <c r="A41" s="4">
        <v>12</v>
      </c>
      <c r="B41" s="15">
        <f>B13-B27</f>
        <v>1.4500000000000624E-4</v>
      </c>
      <c r="C41" s="16">
        <f t="shared" ref="C41:L41" si="2">C13-C27</f>
        <v>1.9829999999999848E-4</v>
      </c>
      <c r="D41" s="16">
        <f t="shared" si="2"/>
        <v>8.5450000000000109E-4</v>
      </c>
      <c r="E41" s="16">
        <f t="shared" si="2"/>
        <v>6.0280000000000056E-4</v>
      </c>
      <c r="F41" s="16">
        <f t="shared" si="2"/>
        <v>-5.7979999999999837E-4</v>
      </c>
      <c r="G41" s="16">
        <f t="shared" si="2"/>
        <v>2.5180000000000341E-4</v>
      </c>
      <c r="H41" s="16">
        <f t="shared" si="2"/>
        <v>-2.1360000000000129E-4</v>
      </c>
      <c r="I41" s="16">
        <f t="shared" si="2"/>
        <v>1.0299999999999962E-3</v>
      </c>
      <c r="J41" s="16">
        <f t="shared" si="2"/>
        <v>1.0603999999999961E-3</v>
      </c>
      <c r="K41" s="16">
        <f t="shared" si="2"/>
        <v>3.2959000000000044E-3</v>
      </c>
      <c r="L41" s="17">
        <f t="shared" si="2"/>
        <v>4.0817000000000006E-3</v>
      </c>
    </row>
  </sheetData>
  <conditionalFormatting sqref="B30:L41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Surface</vt:lpstr>
      <vt:lpstr>Comparison</vt:lpstr>
      <vt:lpstr>Heatmap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Leconte</dc:creator>
  <cp:lastModifiedBy>Nicolas Leconte</cp:lastModifiedBy>
  <dcterms:created xsi:type="dcterms:W3CDTF">2018-01-07T20:50:22Z</dcterms:created>
  <dcterms:modified xsi:type="dcterms:W3CDTF">2018-01-08T09:51:47Z</dcterms:modified>
</cp:coreProperties>
</file>